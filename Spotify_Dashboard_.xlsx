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pivotCache/pivotCacheRecords1.xml" ContentType="application/vnd.openxmlformats-officedocument.spreadsheetml.pivotCacheRecords+xml"/>
  <Override PartName="/xl/pivotCache/pivotCacheDefinition1.xml" ContentType="application/vnd.openxmlformats-officedocument.spreadsheetml.pivotCacheDefinition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2" autoFilterDateGrouping="1"/>
  </bookViews>
  <sheets>
    <sheet xmlns:r="http://schemas.openxmlformats.org/officeDocument/2006/relationships" name="Spotify Data" sheetId="1" state="visible" r:id="rId1"/>
    <sheet xmlns:r="http://schemas.openxmlformats.org/officeDocument/2006/relationships" name="Sheet1" sheetId="2" state="visible" r:id="rId2"/>
    <sheet xmlns:r="http://schemas.openxmlformats.org/officeDocument/2006/relationships" name="Sheet2" sheetId="3" state="visible" r:id="rId3"/>
  </sheets>
  <definedNames>
    <definedName name="Slicer_Plays">#N/A</definedName>
  </definedNames>
  <calcPr calcId="191029" fullCalcOnLoad="1"/>
  <pivotCaches>
    <pivotCache xmlns:r="http://schemas.openxmlformats.org/officeDocument/2006/relationships" cacheId="10" r:id="rId4"/>
  </pivotCaches>
</workbook>
</file>

<file path=xl/styles.xml><?xml version="1.0" encoding="utf-8"?>
<styleSheet xmlns="http://schemas.openxmlformats.org/spreadsheetml/2006/main">
  <numFmts count="1">
    <numFmt numFmtId="164" formatCode="yyyy\-mm\-dd"/>
  </numFmts>
  <fonts count="14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family val="2"/>
      <color theme="0"/>
      <sz val="11"/>
      <scheme val="minor"/>
    </font>
    <font>
      <name val="Calibri"/>
      <family val="2"/>
      <b val="1"/>
      <color rgb="FF00B050"/>
      <sz val="22"/>
      <scheme val="minor"/>
    </font>
    <font>
      <name val="Calibri"/>
      <family val="2"/>
      <b val="1"/>
      <color theme="1"/>
      <sz val="20"/>
      <scheme val="minor"/>
    </font>
    <font>
      <name val="Calibri"/>
      <family val="2"/>
      <b val="1"/>
      <color theme="0"/>
      <sz val="24"/>
      <scheme val="minor"/>
    </font>
    <font>
      <name val="Calibri"/>
      <family val="2"/>
      <b val="1"/>
      <color theme="0"/>
      <sz val="28"/>
      <scheme val="minor"/>
    </font>
    <font>
      <name val="Calibri"/>
      <family val="2"/>
      <color theme="0"/>
      <sz val="28"/>
      <scheme val="minor"/>
    </font>
    <font>
      <name val="Calibri"/>
      <family val="2"/>
      <b val="1"/>
      <color theme="0"/>
      <sz val="16"/>
      <scheme val="minor"/>
    </font>
    <font>
      <name val="Calibri"/>
      <family val="2"/>
      <b val="1"/>
      <color rgb="FF00B050"/>
      <sz val="28"/>
      <scheme val="minor"/>
    </font>
    <font>
      <name val="Calibri"/>
      <family val="2"/>
      <b val="1"/>
      <color theme="0"/>
      <sz val="20"/>
      <scheme val="minor"/>
    </font>
    <font>
      <b val="1"/>
      <color rgb="00FFFFFF"/>
      <sz val="15"/>
    </font>
    <font>
      <b val="1"/>
      <color rgb="00FFFFFF"/>
    </font>
    <font>
      <b val="1"/>
      <color rgb="001DB954"/>
    </font>
  </fonts>
  <fills count="7">
    <fill>
      <patternFill/>
    </fill>
    <fill>
      <patternFill patternType="gray125"/>
    </fill>
    <fill>
      <patternFill patternType="solid">
        <fgColor rgb="FF0B141A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00121212"/>
      </patternFill>
    </fill>
    <fill>
      <patternFill patternType="solid">
        <fgColor rgb="001DB954"/>
      </patternFill>
    </fill>
    <fill>
      <patternFill patternType="solid">
        <fgColor rgb="00F6F6F6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/>
      <right/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rgb="00404040"/>
      </left>
      <right style="thin">
        <color rgb="00404040"/>
      </right>
      <top style="thin">
        <color rgb="00404040"/>
      </top>
      <bottom style="thin">
        <color rgb="00404040"/>
      </bottom>
    </border>
  </borders>
  <cellStyleXfs count="1">
    <xf numFmtId="0" fontId="0" fillId="0" borderId="0"/>
  </cellStyleXfs>
  <cellXfs count="51">
    <xf numFmtId="0" fontId="0" fillId="0" borderId="0" pivotButton="0" quotePrefix="0" xfId="0"/>
    <xf numFmtId="164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2" fillId="2" borderId="0" pivotButton="0" quotePrefix="0" xfId="0"/>
    <xf numFmtId="0" fontId="6" fillId="2" borderId="0" pivotButton="0" quotePrefix="0" xfId="0"/>
    <xf numFmtId="0" fontId="7" fillId="2" borderId="0" pivotButton="0" quotePrefix="0" xfId="0"/>
    <xf numFmtId="0" fontId="0" fillId="2" borderId="4" applyAlignment="1" pivotButton="0" quotePrefix="0" xfId="0">
      <alignment horizontal="center"/>
    </xf>
    <xf numFmtId="0" fontId="0" fillId="2" borderId="5" applyAlignment="1" pivotButton="0" quotePrefix="0" xfId="0">
      <alignment horizontal="center"/>
    </xf>
    <xf numFmtId="0" fontId="0" fillId="2" borderId="0" pivotButton="0" quotePrefix="0" xfId="0"/>
    <xf numFmtId="0" fontId="8" fillId="2" borderId="3" applyAlignment="1" pivotButton="0" quotePrefix="0" xfId="0">
      <alignment horizontal="center"/>
    </xf>
    <xf numFmtId="0" fontId="8" fillId="2" borderId="2" applyAlignment="1" pivotButton="0" quotePrefix="0" xfId="0">
      <alignment horizontal="center"/>
    </xf>
    <xf numFmtId="0" fontId="8" fillId="2" borderId="4" applyAlignment="1" pivotButton="0" quotePrefix="0" xfId="0">
      <alignment horizontal="center"/>
    </xf>
    <xf numFmtId="0" fontId="8" fillId="2" borderId="5" applyAlignment="1" pivotButton="0" quotePrefix="0" xfId="0">
      <alignment horizontal="center"/>
    </xf>
    <xf numFmtId="0" fontId="0" fillId="2" borderId="2" applyAlignment="1" pivotButton="0" quotePrefix="0" xfId="0">
      <alignment horizontal="center"/>
    </xf>
    <xf numFmtId="0" fontId="0" fillId="0" borderId="0" pivotButton="1" quotePrefix="0" xfId="0"/>
    <xf numFmtId="0" fontId="0" fillId="0" borderId="0" applyAlignment="1" pivotButton="0" quotePrefix="0" xfId="0">
      <alignment horizontal="left"/>
    </xf>
    <xf numFmtId="0" fontId="0" fillId="0" borderId="0" pivotButton="0" quotePrefix="0" xfId="0"/>
    <xf numFmtId="0" fontId="3" fillId="2" borderId="0" pivotButton="0" quotePrefix="0" xfId="0"/>
    <xf numFmtId="0" fontId="2" fillId="3" borderId="0" pivotButton="0" quotePrefix="0" xfId="0"/>
    <xf numFmtId="0" fontId="2" fillId="2" borderId="0" pivotButton="0" quotePrefix="0" xfId="0"/>
    <xf numFmtId="0" fontId="5" fillId="2" borderId="4" applyAlignment="1" pivotButton="0" quotePrefix="0" xfId="0">
      <alignment horizontal="center"/>
    </xf>
    <xf numFmtId="0" fontId="5" fillId="2" borderId="5" applyAlignment="1" pivotButton="0" quotePrefix="0" xfId="0">
      <alignment horizontal="center"/>
    </xf>
    <xf numFmtId="0" fontId="5" fillId="2" borderId="6" applyAlignment="1" pivotButton="0" quotePrefix="0" xfId="0">
      <alignment horizontal="center"/>
    </xf>
    <xf numFmtId="0" fontId="5" fillId="2" borderId="7" applyAlignment="1" pivotButton="0" quotePrefix="0" xfId="0">
      <alignment horizontal="center"/>
    </xf>
    <xf numFmtId="0" fontId="10" fillId="2" borderId="4" applyAlignment="1" pivotButton="0" quotePrefix="0" xfId="0">
      <alignment horizontal="center"/>
    </xf>
    <xf numFmtId="0" fontId="4" fillId="2" borderId="5" applyAlignment="1" pivotButton="0" quotePrefix="0" xfId="0">
      <alignment horizontal="center"/>
    </xf>
    <xf numFmtId="0" fontId="4" fillId="2" borderId="6" applyAlignment="1" pivotButton="0" quotePrefix="0" xfId="0">
      <alignment horizontal="center"/>
    </xf>
    <xf numFmtId="0" fontId="4" fillId="2" borderId="7" applyAlignment="1" pivotButton="0" quotePrefix="0" xfId="0">
      <alignment horizontal="center"/>
    </xf>
    <xf numFmtId="0" fontId="11" fillId="4" borderId="1" applyAlignment="1" pivotButton="0" quotePrefix="0" xfId="0">
      <alignment horizontal="center" vertical="center"/>
    </xf>
    <xf numFmtId="0" fontId="12" fillId="5" borderId="0" applyAlignment="1" pivotButton="0" quotePrefix="0" xfId="0">
      <alignment horizontal="center"/>
    </xf>
    <xf numFmtId="164" fontId="12" fillId="5" borderId="0" applyAlignment="1" pivotButton="0" quotePrefix="0" xfId="0">
      <alignment horizontal="center"/>
    </xf>
    <xf numFmtId="0" fontId="13" fillId="0" borderId="11" applyAlignment="1" pivotButton="0" quotePrefix="0" xfId="0">
      <alignment vertical="center"/>
    </xf>
    <xf numFmtId="164" fontId="0" fillId="0" borderId="11" applyAlignment="1" pivotButton="0" quotePrefix="0" xfId="0">
      <alignment vertical="center"/>
    </xf>
    <xf numFmtId="0" fontId="0" fillId="0" borderId="11" applyAlignment="1" pivotButton="0" quotePrefix="0" xfId="0">
      <alignment vertical="center"/>
    </xf>
    <xf numFmtId="0" fontId="13" fillId="6" borderId="11" applyAlignment="1" pivotButton="0" quotePrefix="0" xfId="0">
      <alignment vertical="center"/>
    </xf>
    <xf numFmtId="164" fontId="0" fillId="6" borderId="11" applyAlignment="1" pivotButton="0" quotePrefix="0" xfId="0">
      <alignment vertical="center"/>
    </xf>
    <xf numFmtId="0" fontId="0" fillId="6" borderId="11" applyAlignment="1" pivotButton="0" quotePrefix="0" xfId="0">
      <alignment vertical="center"/>
    </xf>
    <xf numFmtId="0" fontId="12" fillId="5" borderId="0" applyAlignment="1" pivotButton="1" quotePrefix="0" xfId="0">
      <alignment horizontal="center"/>
    </xf>
    <xf numFmtId="0" fontId="0" fillId="0" borderId="11" applyAlignment="1" pivotButton="1" quotePrefix="0" xfId="0">
      <alignment vertical="center"/>
    </xf>
    <xf numFmtId="0" fontId="0" fillId="6" borderId="11" applyAlignment="1" pivotButton="1" quotePrefix="0" xfId="0">
      <alignment vertical="center"/>
    </xf>
    <xf numFmtId="0" fontId="11" fillId="4" borderId="0" applyAlignment="1" pivotButton="0" quotePrefix="0" xfId="0">
      <alignment horizontal="center" vertical="center"/>
    </xf>
    <xf numFmtId="0" fontId="13" fillId="2" borderId="11" applyAlignment="1" pivotButton="0" quotePrefix="0" xfId="0">
      <alignment vertical="center"/>
    </xf>
    <xf numFmtId="0" fontId="8" fillId="2" borderId="11" applyAlignment="1" pivotButton="0" quotePrefix="0" xfId="0">
      <alignment vertical="center"/>
    </xf>
    <xf numFmtId="0" fontId="0" fillId="0" borderId="2" pivotButton="0" quotePrefix="0" xfId="0"/>
    <xf numFmtId="0" fontId="0" fillId="0" borderId="4" pivotButton="0" quotePrefix="0" xfId="0"/>
    <xf numFmtId="0" fontId="0" fillId="0" borderId="5" pivotButton="0" quotePrefix="0" xfId="0"/>
    <xf numFmtId="0" fontId="5" fillId="2" borderId="11" applyAlignment="1" pivotButton="0" quotePrefix="0" xfId="0">
      <alignment vertical="center"/>
    </xf>
    <xf numFmtId="0" fontId="10" fillId="2" borderId="11" applyAlignment="1" pivotButton="0" quotePrefix="0" xfId="0">
      <alignment vertical="center"/>
    </xf>
    <xf numFmtId="0" fontId="0" fillId="0" borderId="6" pivotButton="0" quotePrefix="0" xfId="0"/>
    <xf numFmtId="0" fontId="0" fillId="0" borderId="7" pivotButton="0" quotePrefix="0" xfId="0"/>
  </cellXfs>
  <cellStyles count="1">
    <cellStyle name="Normal" xfId="0" builtinId="0"/>
  </cellStyles>
  <dxfs count="4">
    <dxf>
      <font>
        <name val="Calibri"/>
        <b val="1"/>
        <strike val="0"/>
        <outline val="0"/>
        <shadow val="0"/>
        <condense val="0"/>
        <color auto="1"/>
        <extend val="0"/>
        <sz val="11"/>
        <vertAlign val="baseline"/>
      </font>
      <alignment horizontal="center" vertical="top"/>
      <border outline="0">
        <left style="thin">
          <color auto="1"/>
        </left>
        <right style="thin">
          <color auto="1"/>
        </right>
        <top/>
        <bottom/>
      </border>
    </dxf>
    <dxf>
      <numFmt numFmtId="164" formatCode="yyyy\-mm\-dd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pivotCacheDefinition" Target="/xl/pivotCache/pivotCacheDefinition1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pivotSource>
    <name>[Spotify_Dashboard (2).xlsx]Sheet1!PivotTable1</name>
    <fmtId val="5"/>
  </pivotSource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1" i="0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bg1"/>
                </a:solidFill>
              </a:rPr>
              <a:t>Listening</a:t>
            </a:r>
            <a:r>
              <a:rPr lang="en-US" b="1" baseline="0">
                <a:solidFill>
                  <a:schemeClr val="bg1"/>
                </a:solidFill>
              </a:rPr>
              <a:t xml:space="preserve"> Minutes</a:t>
            </a:r>
            <a:endParaRPr lang="en-US" b="1">
              <a:solidFill>
                <a:schemeClr val="bg1"/>
              </a:solidFill>
            </a:endParaRP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400" b="1" i="0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title>
    <pivotFmts>
      <pivotFmt>
        <idx val="0"/>
        <spPr>
          <a:solidFill xmlns:a="http://schemas.openxmlformats.org/drawingml/2006/main">
            <a:schemeClr val="accent1"/>
          </a:solidFill>
          <a:ln xmlns:a="http://schemas.openxmlformats.org/drawingml/2006/main" w="28575" cap="rnd">
            <a:solidFill>
              <a:srgbClr val="00B050"/>
            </a:solidFill>
            <a:prstDash val="solid"/>
            <a:round/>
          </a:ln>
        </spPr>
        <marker>
          <symbol val="none"/>
          <spPr>
            <a:ln xmlns:a="http://schemas.openxmlformats.org/drawingml/2006/main">
              <a:prstDash val="solid"/>
            </a:ln>
          </spPr>
        </marker>
        <dLbl>
          <idx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ellipsis" vert="horz" wrap="square" lIns="38100" tIns="19050" rIns="38100" bIns="19050" anchor="ctr" anchorCtr="1">
              <a:spAutoFit/>
            </a:bodyPr>
            <a:lstStyle xmlns:a="http://schemas.openxmlformats.org/drawingml/2006/main"/>
            <a:p xmlns:a="http://schemas.openxmlformats.org/drawingml/2006/main"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  <showLegendKey val="0"/>
          <showVal val="0"/>
          <showCatName val="0"/>
          <showSerName val="0"/>
          <showPercent val="0"/>
          <showBubbleSize val="0"/>
        </dLbl>
      </pivotFmt>
      <pivotFmt>
        <idx val="1"/>
        <spPr>
          <a:solidFill xmlns:a="http://schemas.openxmlformats.org/drawingml/2006/main">
            <a:schemeClr val="accent1"/>
          </a:solidFill>
          <a:ln xmlns:a="http://schemas.openxmlformats.org/drawingml/2006/main" w="28575" cap="rnd">
            <a:solidFill>
              <a:srgbClr val="00B050"/>
            </a:solidFill>
            <a:prstDash val="solid"/>
            <a:round/>
          </a:ln>
        </spPr>
        <marker>
          <symbol val="none"/>
          <spPr>
            <a:ln xmlns:a="http://schemas.openxmlformats.org/drawingml/2006/main">
              <a:prstDash val="solid"/>
            </a:ln>
          </spPr>
        </marker>
        <dLbl>
          <idx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ellipsis" vert="horz" wrap="square" lIns="38100" tIns="19050" rIns="38100" bIns="19050" anchor="ctr" anchorCtr="1">
              <a:spAutoFit/>
            </a:bodyPr>
            <a:lstStyle xmlns:a="http://schemas.openxmlformats.org/drawingml/2006/main"/>
            <a:p xmlns:a="http://schemas.openxmlformats.org/drawingml/2006/main"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  <showLegendKey val="0"/>
          <showVal val="0"/>
          <showCatName val="0"/>
          <showSerName val="0"/>
          <showPercent val="0"/>
          <showBubbleSize val="0"/>
        </dLbl>
      </pivotFmt>
      <pivotFmt>
        <idx val="2"/>
        <spPr>
          <a:ln xmlns:a="http://schemas.openxmlformats.org/drawingml/2006/main" w="28575" cap="rnd">
            <a:solidFill>
              <a:srgbClr val="00B050"/>
            </a:solidFill>
            <a:prstDash val="solid"/>
            <a:round/>
          </a:ln>
        </spPr>
        <marker>
          <symbol val="none"/>
          <spPr>
            <a:ln xmlns:a="http://schemas.openxmlformats.org/drawingml/2006/main">
              <a:prstDash val="solid"/>
            </a:ln>
          </spPr>
        </marker>
        <dLbl>
          <idx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ellipsis" vert="horz" wrap="square" lIns="38100" tIns="19050" rIns="38100" bIns="19050" anchor="ctr" anchorCtr="1">
              <a:spAutoFit/>
            </a:bodyPr>
            <a:lstStyle xmlns:a="http://schemas.openxmlformats.org/drawingml/2006/main"/>
            <a:p xmlns:a="http://schemas.openxmlformats.org/drawingml/2006/main"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  <showLegendKey val="0"/>
          <showVal val="0"/>
          <showCatName val="0"/>
          <showSerName val="0"/>
          <showPercent val="0"/>
          <showBubbleSize val="0"/>
        </dLbl>
      </pivotFmt>
    </pivotFmts>
    <plotArea>
      <layout/>
      <lineChart>
        <grouping val="standard"/>
        <varyColors val="0"/>
        <ser>
          <idx val="0"/>
          <order val="0"/>
          <tx>
            <strRef>
              <f>Sheet1!$B$2</f>
              <strCache>
                <ptCount val="1"/>
                <pt idx="0">
                  <v>Total</v>
                </pt>
              </strCache>
            </strRef>
          </tx>
          <spPr>
            <a:ln xmlns:a="http://schemas.openxmlformats.org/drawingml/2006/main" w="28575" cap="rnd">
              <a:solidFill>
                <a:srgbClr val="00B050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Sheet1!$A$3:$A$15</f>
              <strCache>
                <ptCount val="12"/>
                <pt idx="0">
                  <v>January</v>
                </pt>
                <pt idx="1">
                  <v>February</v>
                </pt>
                <pt idx="2">
                  <v>March</v>
                </pt>
                <pt idx="3">
                  <v>April</v>
                </pt>
                <pt idx="4">
                  <v>May</v>
                </pt>
                <pt idx="5">
                  <v>June</v>
                </pt>
                <pt idx="6">
                  <v>July</v>
                </pt>
                <pt idx="7">
                  <v>August</v>
                </pt>
                <pt idx="8">
                  <v>September</v>
                </pt>
                <pt idx="9">
                  <v>October</v>
                </pt>
                <pt idx="10">
                  <v>November</v>
                </pt>
                <pt idx="11">
                  <v>December</v>
                </pt>
              </strCache>
            </strRef>
          </cat>
          <val>
            <numRef>
              <f>Sheet1!$B$3:$B$15</f>
              <numCache>
                <formatCode>General</formatCode>
                <ptCount val="12"/>
                <pt idx="0">
                  <v>31867.3</v>
                </pt>
                <pt idx="1">
                  <v>57263.5</v>
                </pt>
                <pt idx="2">
                  <v>22670.9</v>
                </pt>
                <pt idx="3">
                  <v>82450.10000000001</v>
                </pt>
                <pt idx="4">
                  <v>59319.7</v>
                </pt>
                <pt idx="5">
                  <v>14936.5</v>
                </pt>
                <pt idx="6">
                  <v>59438.49999999999</v>
                </pt>
                <pt idx="7">
                  <v>62778.5</v>
                </pt>
                <pt idx="8">
                  <v>47330</v>
                </pt>
                <pt idx="9">
                  <v>24117.1</v>
                </pt>
                <pt idx="10">
                  <v>39102.4</v>
                </pt>
                <pt idx="11">
                  <v>37470.6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2084649312"/>
        <axId val="36252016"/>
      </lineChart>
      <catAx>
        <axId val="2084649312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36252016"/>
        <crosses val="autoZero"/>
        <auto val="1"/>
        <lblAlgn val="ctr"/>
        <lblOffset val="100"/>
        <noMultiLvlLbl val="0"/>
      </catAx>
      <valAx>
        <axId val="36252016"/>
        <scaling>
          <orientation val="minMax"/>
        </scaling>
        <delete val="0"/>
        <axPos val="l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2084649312"/>
        <crosses val="autoZero"/>
        <crossBetween val="between"/>
      </valAx>
    </plotArea>
    <legend>
      <legendPos val="r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rgbClr val="00B050"/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legend>
    <plotVisOnly val="1"/>
    <dispBlanksAs val="gap"/>
  </chart>
  <spPr>
    <a:solidFill xmlns:a="http://schemas.openxmlformats.org/drawingml/2006/main">
      <a:schemeClr val="tx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.xml><?xml version="1.0" encoding="utf-8"?>
<chartSpace xmlns="http://schemas.openxmlformats.org/drawingml/2006/chart">
  <pivotSource>
    <name>[Spotify_Dashboard (2).xlsx]Sheet1!PivotTable2</name>
    <fmtId val="2"/>
  </pivotSource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1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>
                <a:solidFill>
                  <a:schemeClr val="bg1"/>
                </a:solidFill>
              </a:rPr>
              <a:t>Top</a:t>
            </a:r>
            <a:r>
              <a:rPr lang="en-IN" b="1" baseline="0">
                <a:solidFill>
                  <a:schemeClr val="bg1"/>
                </a:solidFill>
              </a:rPr>
              <a:t xml:space="preserve"> 10 Songs by Plays</a:t>
            </a:r>
            <a:endParaRPr lang="en-IN" b="1">
              <a:solidFill>
                <a:schemeClr val="bg1"/>
              </a:solidFill>
            </a:endParaRP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400" b="1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IN"/>
        </a:p>
      </txPr>
    </title>
    <pivotFmts>
      <pivotFmt>
        <idx val="0"/>
        <spPr>
          <a:solidFill xmlns:a="http://schemas.openxmlformats.org/drawingml/2006/main">
            <a:srgbClr val="00B050"/>
          </a:solidFill>
          <a:ln xmlns:a="http://schemas.openxmlformats.org/drawingml/2006/main">
            <a:noFill/>
            <a:prstDash val="solid"/>
          </a:ln>
        </spPr>
        <marker>
          <symbol val="none"/>
          <spPr>
            <a:ln xmlns:a="http://schemas.openxmlformats.org/drawingml/2006/main">
              <a:prstDash val="solid"/>
            </a:ln>
          </spPr>
        </marker>
        <dLbl>
          <idx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ellipsis" vert="horz" wrap="square" lIns="38100" tIns="19050" rIns="38100" bIns="19050" anchor="ctr" anchorCtr="1">
              <a:spAutoFit/>
            </a:bodyPr>
            <a:lstStyle xmlns:a="http://schemas.openxmlformats.org/drawingml/2006/main"/>
            <a:p xmlns:a="http://schemas.openxmlformats.org/drawingml/2006/main"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  <showLegendKey val="0"/>
          <showVal val="0"/>
          <showCatName val="0"/>
          <showSerName val="0"/>
          <showPercent val="0"/>
          <showBubbleSize val="0"/>
        </dLbl>
      </pivotFmt>
      <pivotFmt>
        <idx val="1"/>
        <spPr>
          <a:solidFill xmlns:a="http://schemas.openxmlformats.org/drawingml/2006/main">
            <a:srgbClr val="00B050"/>
          </a:solidFill>
          <a:ln xmlns:a="http://schemas.openxmlformats.org/drawingml/2006/main">
            <a:noFill/>
            <a:prstDash val="solid"/>
          </a:ln>
        </spPr>
        <marker>
          <symbol val="none"/>
          <spPr>
            <a:ln xmlns:a="http://schemas.openxmlformats.org/drawingml/2006/main">
              <a:prstDash val="solid"/>
            </a:ln>
          </spPr>
        </marker>
        <dLbl>
          <idx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ellipsis" vert="horz" wrap="square" lIns="38100" tIns="19050" rIns="38100" bIns="19050" anchor="ctr" anchorCtr="1">
              <a:spAutoFit/>
            </a:bodyPr>
            <a:lstStyle xmlns:a="http://schemas.openxmlformats.org/drawingml/2006/main"/>
            <a:p xmlns:a="http://schemas.openxmlformats.org/drawingml/2006/main"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  <showLegendKey val="0"/>
          <showVal val="0"/>
          <showCatName val="0"/>
          <showSerName val="0"/>
          <showPercent val="0"/>
          <showBubbleSize val="0"/>
        </dLbl>
      </pivotFmt>
      <pivotFmt>
        <idx val="2"/>
        <spPr>
          <a:solidFill xmlns:a="http://schemas.openxmlformats.org/drawingml/2006/main">
            <a:srgbClr val="00B050"/>
          </a:solidFill>
          <a:ln xmlns:a="http://schemas.openxmlformats.org/drawingml/2006/main">
            <a:noFill/>
            <a:prstDash val="solid"/>
          </a:ln>
        </spPr>
        <marker>
          <symbol val="none"/>
          <spPr>
            <a:ln xmlns:a="http://schemas.openxmlformats.org/drawingml/2006/main">
              <a:prstDash val="solid"/>
            </a:ln>
          </spPr>
        </marker>
        <dLbl>
          <idx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ellipsis" vert="horz" wrap="square" lIns="38100" tIns="19050" rIns="38100" bIns="19050" anchor="ctr" anchorCtr="1">
              <a:spAutoFit/>
            </a:bodyPr>
            <a:lstStyle xmlns:a="http://schemas.openxmlformats.org/drawingml/2006/main"/>
            <a:p xmlns:a="http://schemas.openxmlformats.org/drawingml/2006/main"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  <showLegendKey val="0"/>
          <showVal val="0"/>
          <showCatName val="0"/>
          <showSerName val="0"/>
          <showPercent val="0"/>
          <showBubbleSize val="0"/>
        </dLbl>
      </pivotFmt>
    </pivotFmts>
    <plotArea>
      <layout>
        <manualLayout>
          <layoutTarget val="inner"/>
          <xMode val="edge"/>
          <yMode val="edge"/>
          <wMode val="factor"/>
          <hMode val="factor"/>
          <x val="0.362582895888014"/>
          <y val="0.1518842957130359"/>
          <w val="0.560176290463692"/>
          <h val="0.680531131525226"/>
        </manualLayout>
      </layout>
      <barChart>
        <barDir val="bar"/>
        <grouping val="clustered"/>
        <varyColors val="0"/>
        <ser>
          <idx val="0"/>
          <order val="0"/>
          <tx>
            <strRef>
              <f>Sheet1!$E$7</f>
              <strCache>
                <ptCount val="1"/>
                <pt idx="0">
                  <v>Total</v>
                </pt>
              </strCache>
            </strRef>
          </tx>
          <spPr>
            <a:solidFill xmlns:a="http://schemas.openxmlformats.org/drawingml/2006/main">
              <a:srgbClr val="00B050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Sheet1!$D$8:$D$18</f>
              <strCache>
                <ptCount val="10"/>
                <pt idx="0">
                  <v>Apna Bana Le</v>
                </pt>
                <pt idx="1">
                  <v>Gul</v>
                </pt>
                <pt idx="2">
                  <v>Kesariya</v>
                </pt>
                <pt idx="3">
                  <v>Lover</v>
                </pt>
                <pt idx="4">
                  <v>Param Sundari</v>
                </pt>
                <pt idx="5">
                  <v>Shape of You</v>
                </pt>
                <pt idx="6">
                  <v>Sun Raha Hai</v>
                </pt>
                <pt idx="7">
                  <v>Sunflower</v>
                </pt>
                <pt idx="8">
                  <v>Tauba Tauba</v>
                </pt>
                <pt idx="9">
                  <v>Teri Baaton Mein Aisa Uljha Jiya</v>
                </pt>
              </strCache>
            </strRef>
          </cat>
          <val>
            <numRef>
              <f>Sheet1!$E$8:$E$18</f>
              <numCache>
                <formatCode>General</formatCode>
                <ptCount val="10"/>
                <pt idx="0">
                  <v>6517</v>
                </pt>
                <pt idx="1">
                  <v>6260</v>
                </pt>
                <pt idx="2">
                  <v>5325</v>
                </pt>
                <pt idx="3">
                  <v>10533</v>
                </pt>
                <pt idx="4">
                  <v>4908</v>
                </pt>
                <pt idx="5">
                  <v>5210</v>
                </pt>
                <pt idx="6">
                  <v>5939</v>
                </pt>
                <pt idx="7">
                  <v>5071</v>
                </pt>
                <pt idx="8">
                  <v>10978</v>
                </pt>
                <pt idx="9">
                  <v>5891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82"/>
        <axId val="98869504"/>
        <axId val="81984272"/>
      </barChart>
      <catAx>
        <axId val="98869504"/>
        <scaling>
          <orientation val="minMax"/>
        </scaling>
        <delete val="0"/>
        <axPos val="l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81984272"/>
        <crosses val="autoZero"/>
        <auto val="1"/>
        <lblAlgn val="ctr"/>
        <lblOffset val="100"/>
        <noMultiLvlLbl val="0"/>
      </catAx>
      <valAx>
        <axId val="81984272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98869504"/>
        <crosses val="autoZero"/>
        <crossBetween val="between"/>
      </valAx>
    </plotArea>
    <legend>
      <legendPos val="r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legend>
    <plotVisOnly val="1"/>
    <dispBlanksAs val="gap"/>
  </chart>
  <spPr>
    <a:solidFill xmlns:a="http://schemas.openxmlformats.org/drawingml/2006/main">
      <a:schemeClr val="tx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3.xml><?xml version="1.0" encoding="utf-8"?>
<chartSpace xmlns="http://schemas.openxmlformats.org/drawingml/2006/chart">
  <pivotSource>
    <name>[Spotify_Dashboard (2).xlsx]Sheet1!PivotTable3</name>
    <fmtId val="2"/>
  </pivotSource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>
                <a:solidFill>
                  <a:schemeClr val="bg1"/>
                </a:solidFill>
              </a:rPr>
              <a:t>Top</a:t>
            </a:r>
            <a:r>
              <a:rPr lang="en-US" sz="1600" b="1" baseline="0">
                <a:solidFill>
                  <a:schemeClr val="bg1"/>
                </a:solidFill>
              </a:rPr>
              <a:t xml:space="preserve"> 10 Artists</a:t>
            </a:r>
            <a:endParaRPr lang="en-US" sz="1600" b="1">
              <a:solidFill>
                <a:schemeClr val="bg1"/>
              </a:solidFill>
            </a:endParaRP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title>
    <pivotFmts>
      <pivotFmt>
        <idx val="0"/>
        <spPr>
          <a:solidFill xmlns:a="http://schemas.openxmlformats.org/drawingml/2006/main">
            <a:srgbClr val="00B050"/>
          </a:solidFill>
          <a:ln xmlns:a="http://schemas.openxmlformats.org/drawingml/2006/main">
            <a:noFill/>
            <a:prstDash val="solid"/>
          </a:ln>
        </spPr>
        <marker>
          <symbol val="none"/>
          <spPr>
            <a:ln xmlns:a="http://schemas.openxmlformats.org/drawingml/2006/main">
              <a:prstDash val="solid"/>
            </a:ln>
          </spPr>
        </marker>
        <dLbl>
          <idx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ellipsis" vert="horz" wrap="square" lIns="38100" tIns="19050" rIns="38100" bIns="19050" anchor="ctr" anchorCtr="1">
              <a:spAutoFit/>
            </a:bodyPr>
            <a:lstStyle xmlns:a="http://schemas.openxmlformats.org/drawingml/2006/main"/>
            <a:p xmlns:a="http://schemas.openxmlformats.org/drawingml/2006/main"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  <showLegendKey val="0"/>
          <showVal val="0"/>
          <showCatName val="0"/>
          <showSerName val="0"/>
          <showPercent val="0"/>
          <showBubbleSize val="0"/>
        </dLbl>
      </pivotFmt>
      <pivotFmt>
        <idx val="1"/>
        <spPr>
          <a:solidFill xmlns:a="http://schemas.openxmlformats.org/drawingml/2006/main">
            <a:srgbClr val="00B050"/>
          </a:solidFill>
          <a:ln xmlns:a="http://schemas.openxmlformats.org/drawingml/2006/main">
            <a:noFill/>
            <a:prstDash val="solid"/>
          </a:ln>
        </spPr>
        <marker>
          <symbol val="none"/>
          <spPr>
            <a:ln xmlns:a="http://schemas.openxmlformats.org/drawingml/2006/main">
              <a:prstDash val="solid"/>
            </a:ln>
          </spPr>
        </marker>
        <dLbl>
          <idx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ellipsis" vert="horz" wrap="square" lIns="38100" tIns="19050" rIns="38100" bIns="19050" anchor="ctr" anchorCtr="1">
              <a:spAutoFit/>
            </a:bodyPr>
            <a:lstStyle xmlns:a="http://schemas.openxmlformats.org/drawingml/2006/main"/>
            <a:p xmlns:a="http://schemas.openxmlformats.org/drawingml/2006/main"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  <showLegendKey val="0"/>
          <showVal val="0"/>
          <showCatName val="0"/>
          <showSerName val="0"/>
          <showPercent val="0"/>
          <showBubbleSize val="0"/>
        </dLbl>
      </pivotFmt>
      <pivotFmt>
        <idx val="2"/>
        <spPr>
          <a:solidFill xmlns:a="http://schemas.openxmlformats.org/drawingml/2006/main">
            <a:srgbClr val="00B050"/>
          </a:solidFill>
          <a:ln xmlns:a="http://schemas.openxmlformats.org/drawingml/2006/main">
            <a:noFill/>
            <a:prstDash val="solid"/>
          </a:ln>
        </spPr>
        <marker>
          <symbol val="none"/>
          <spPr>
            <a:ln xmlns:a="http://schemas.openxmlformats.org/drawingml/2006/main">
              <a:prstDash val="solid"/>
            </a:ln>
          </spPr>
        </marker>
        <dLbl>
          <idx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ellipsis" vert="horz" wrap="square" lIns="38100" tIns="19050" rIns="38100" bIns="19050" anchor="ctr" anchorCtr="1">
              <a:spAutoFit/>
            </a:bodyPr>
            <a:lstStyle xmlns:a="http://schemas.openxmlformats.org/drawingml/2006/main"/>
            <a:p xmlns:a="http://schemas.openxmlformats.org/drawingml/2006/main"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  <showLegendKey val="0"/>
          <showVal val="0"/>
          <showCatName val="0"/>
          <showSerName val="0"/>
          <showPercent val="0"/>
          <showBubbleSize val="0"/>
        </dLbl>
      </pivotFmt>
    </pivotFmts>
    <plotArea>
      <layout/>
      <barChart>
        <barDir val="bar"/>
        <grouping val="stacked"/>
        <varyColors val="0"/>
        <ser>
          <idx val="0"/>
          <order val="0"/>
          <tx>
            <strRef>
              <f>Sheet1!$H$26</f>
              <strCache>
                <ptCount val="1"/>
                <pt idx="0">
                  <v>Total</v>
                </pt>
              </strCache>
            </strRef>
          </tx>
          <spPr>
            <a:solidFill xmlns:a="http://schemas.openxmlformats.org/drawingml/2006/main">
              <a:srgbClr val="00B050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Sheet1!$G$27:$G$37</f>
              <strCache>
                <ptCount val="10"/>
                <pt idx="0">
                  <v>Anuv Jain</v>
                </pt>
                <pt idx="1">
                  <v>Arijit Singh</v>
                </pt>
                <pt idx="2">
                  <v>Diljit Dosanjh</v>
                </pt>
                <pt idx="3">
                  <v>Ed Sheeran</v>
                </pt>
                <pt idx="4">
                  <v>Jubin Nautiyal</v>
                </pt>
                <pt idx="5">
                  <v>Justin Bieber</v>
                </pt>
                <pt idx="6">
                  <v>Karan Aujla</v>
                </pt>
                <pt idx="7">
                  <v>Post Malone</v>
                </pt>
                <pt idx="8">
                  <v>Shreya Ghoshal</v>
                </pt>
                <pt idx="9">
                  <v>The Weeknd</v>
                </pt>
              </strCache>
            </strRef>
          </cat>
          <val>
            <numRef>
              <f>Sheet1!$H$27:$H$37</f>
              <numCache>
                <formatCode>General</formatCode>
                <ptCount val="10"/>
                <pt idx="0">
                  <v>8372</v>
                </pt>
                <pt idx="1">
                  <v>31339</v>
                </pt>
                <pt idx="2">
                  <v>13207</v>
                </pt>
                <pt idx="3">
                  <v>8993</v>
                </pt>
                <pt idx="4">
                  <v>8551</v>
                </pt>
                <pt idx="5">
                  <v>7979</v>
                </pt>
                <pt idx="6">
                  <v>14393</v>
                </pt>
                <pt idx="7">
                  <v>8211</v>
                </pt>
                <pt idx="8">
                  <v>18175</v>
                </pt>
                <pt idx="9">
                  <v>13523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overlap val="100"/>
        <axId val="93318864"/>
        <axId val="81973712"/>
      </barChart>
      <catAx>
        <axId val="93318864"/>
        <scaling>
          <orientation val="minMax"/>
        </scaling>
        <delete val="0"/>
        <axPos val="l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81973712"/>
        <crosses val="autoZero"/>
        <auto val="1"/>
        <lblAlgn val="ctr"/>
        <lblOffset val="100"/>
        <noMultiLvlLbl val="0"/>
      </catAx>
      <valAx>
        <axId val="81973712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93318864"/>
        <crosses val="autoZero"/>
        <crossBetween val="between"/>
      </valAx>
    </plotArea>
    <legend>
      <legendPos val="r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legend>
    <plotVisOnly val="1"/>
    <dispBlanksAs val="gap"/>
  </chart>
  <spPr>
    <a:solidFill xmlns:a="http://schemas.openxmlformats.org/drawingml/2006/main">
      <a:schemeClr val="tx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4.xml><?xml version="1.0" encoding="utf-8"?>
<chartSpace xmlns="http://schemas.openxmlformats.org/drawingml/2006/chart">
  <pivotSource>
    <name>[Spotify_Dashboard (2).xlsx]Sheet1!PivotTable4</name>
    <fmtId val="2"/>
  </pivotSource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>
                <a:solidFill>
                  <a:schemeClr val="bg1"/>
                </a:solidFill>
              </a:rPr>
              <a:t>Listening</a:t>
            </a:r>
            <a:r>
              <a:rPr lang="en-US" sz="1600" b="1" baseline="0">
                <a:solidFill>
                  <a:schemeClr val="bg1"/>
                </a:solidFill>
              </a:rPr>
              <a:t xml:space="preserve"> by language</a:t>
            </a:r>
            <a:endParaRPr lang="en-US" sz="1600" b="1">
              <a:solidFill>
                <a:schemeClr val="bg1"/>
              </a:solidFill>
            </a:endParaRP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title>
    <pivotFmts>
      <pivotFmt>
        <idx val="0"/>
        <spPr>
          <a:solidFill xmlns:a="http://schemas.openxmlformats.org/drawingml/2006/main">
            <a:schemeClr val="accent1"/>
          </a:solidFill>
          <a:ln xmlns:a="http://schemas.openxmlformats.org/drawingml/2006/main" w="19050">
            <a:solidFill>
              <a:schemeClr val="lt1"/>
            </a:solidFill>
            <a:prstDash val="solid"/>
          </a:ln>
        </spPr>
        <marker>
          <symbol val="none"/>
          <spPr>
            <a:ln xmlns:a="http://schemas.openxmlformats.org/drawingml/2006/main">
              <a:prstDash val="solid"/>
            </a:ln>
          </spPr>
        </marker>
        <dLbl>
          <idx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ellipsis" vert="horz" wrap="square" lIns="38100" tIns="19050" rIns="38100" bIns="19050" anchor="ctr" anchorCtr="1">
              <a:spAutoFit/>
            </a:bodyPr>
            <a:lstStyle xmlns:a="http://schemas.openxmlformats.org/drawingml/2006/main"/>
            <a:p xmlns:a="http://schemas.openxmlformats.org/drawingml/2006/main"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  <showLegendKey val="0"/>
          <showVal val="0"/>
          <showCatName val="0"/>
          <showSerName val="0"/>
          <showPercent val="0"/>
          <showBubbleSize val="0"/>
        </dLbl>
      </pivotFmt>
      <pivotFmt>
        <idx val="1"/>
        <spPr>
          <a:solidFill xmlns:a="http://schemas.openxmlformats.org/drawingml/2006/main">
            <a:srgbClr val="00B050"/>
          </a:solidFill>
          <a:ln xmlns:a="http://schemas.openxmlformats.org/drawingml/2006/main" w="19050">
            <a:solidFill>
              <a:schemeClr val="lt1"/>
            </a:solidFill>
            <a:prstDash val="solid"/>
          </a:ln>
        </spPr>
      </pivotFmt>
      <pivotFmt>
        <idx val="2"/>
        <spPr>
          <a:solidFill xmlns:a="http://schemas.openxmlformats.org/drawingml/2006/main">
            <a:srgbClr val="7030A0"/>
          </a:solidFill>
          <a:ln xmlns:a="http://schemas.openxmlformats.org/drawingml/2006/main" w="19050">
            <a:solidFill>
              <a:schemeClr val="lt1"/>
            </a:solidFill>
            <a:prstDash val="solid"/>
          </a:ln>
        </spPr>
      </pivotFmt>
      <pivotFmt>
        <idx val="3"/>
        <spPr>
          <a:solidFill xmlns:a="http://schemas.openxmlformats.org/drawingml/2006/main">
            <a:schemeClr val="tx1"/>
          </a:solidFill>
          <a:ln xmlns:a="http://schemas.openxmlformats.org/drawingml/2006/main" w="19050">
            <a:solidFill>
              <a:schemeClr val="lt1"/>
            </a:solidFill>
            <a:prstDash val="solid"/>
          </a:ln>
        </spPr>
      </pivotFmt>
      <pivotFmt>
        <idx val="4"/>
        <spPr>
          <a:solidFill xmlns:a="http://schemas.openxmlformats.org/drawingml/2006/main">
            <a:schemeClr val="tx1"/>
          </a:solidFill>
          <a:ln xmlns:a="http://schemas.openxmlformats.org/drawingml/2006/main" w="19050">
            <a:solidFill>
              <a:schemeClr val="lt1"/>
            </a:solidFill>
            <a:prstDash val="solid"/>
          </a:ln>
        </spPr>
      </pivotFmt>
      <pivotFmt>
        <idx val="5"/>
        <spPr>
          <a:solidFill xmlns:a="http://schemas.openxmlformats.org/drawingml/2006/main">
            <a:srgbClr val="00B0F0"/>
          </a:solidFill>
          <a:ln xmlns:a="http://schemas.openxmlformats.org/drawingml/2006/main" w="19050">
            <a:solidFill>
              <a:schemeClr val="lt1"/>
            </a:solidFill>
            <a:prstDash val="solid"/>
          </a:ln>
        </spPr>
      </pivotFmt>
      <pivotFmt>
        <idx val="6"/>
        <spPr>
          <a:solidFill xmlns:a="http://schemas.openxmlformats.org/drawingml/2006/main">
            <a:srgbClr val="FFFF00"/>
          </a:solidFill>
          <a:ln xmlns:a="http://schemas.openxmlformats.org/drawingml/2006/main" w="19050">
            <a:solidFill>
              <a:schemeClr val="lt1"/>
            </a:solidFill>
            <a:prstDash val="solid"/>
          </a:ln>
        </spPr>
      </pivotFmt>
      <pivotFmt>
        <idx val="7"/>
        <spPr>
          <a:solidFill xmlns:a="http://schemas.openxmlformats.org/drawingml/2006/main">
            <a:schemeClr val="accent1"/>
          </a:solidFill>
          <a:ln xmlns:a="http://schemas.openxmlformats.org/drawingml/2006/main" w="19050">
            <a:solidFill>
              <a:schemeClr val="lt1"/>
            </a:solidFill>
            <a:prstDash val="solid"/>
          </a:ln>
        </spPr>
        <marker>
          <symbol val="none"/>
          <spPr>
            <a:ln xmlns:a="http://schemas.openxmlformats.org/drawingml/2006/main">
              <a:prstDash val="solid"/>
            </a:ln>
          </spPr>
        </marker>
        <dLbl>
          <idx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ellipsis" vert="horz" wrap="square" lIns="38100" tIns="19050" rIns="38100" bIns="19050" anchor="ctr" anchorCtr="1">
              <a:spAutoFit/>
            </a:bodyPr>
            <a:lstStyle xmlns:a="http://schemas.openxmlformats.org/drawingml/2006/main"/>
            <a:p xmlns:a="http://schemas.openxmlformats.org/drawingml/2006/main"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  <showLegendKey val="0"/>
          <showVal val="0"/>
          <showCatName val="0"/>
          <showSerName val="0"/>
          <showPercent val="0"/>
          <showBubbleSize val="0"/>
        </dLbl>
      </pivotFmt>
      <pivotFmt>
        <idx val="8"/>
        <spPr>
          <a:solidFill xmlns:a="http://schemas.openxmlformats.org/drawingml/2006/main">
            <a:srgbClr val="00B050"/>
          </a:solidFill>
          <a:ln xmlns:a="http://schemas.openxmlformats.org/drawingml/2006/main" w="19050">
            <a:solidFill>
              <a:schemeClr val="lt1"/>
            </a:solidFill>
            <a:prstDash val="solid"/>
          </a:ln>
        </spPr>
      </pivotFmt>
      <pivotFmt>
        <idx val="9"/>
        <spPr>
          <a:solidFill xmlns:a="http://schemas.openxmlformats.org/drawingml/2006/main">
            <a:srgbClr val="00B0F0"/>
          </a:solidFill>
          <a:ln xmlns:a="http://schemas.openxmlformats.org/drawingml/2006/main" w="19050">
            <a:solidFill>
              <a:schemeClr val="lt1"/>
            </a:solidFill>
            <a:prstDash val="solid"/>
          </a:ln>
        </spPr>
      </pivotFmt>
      <pivotFmt>
        <idx val="10"/>
        <spPr>
          <a:solidFill xmlns:a="http://schemas.openxmlformats.org/drawingml/2006/main">
            <a:srgbClr val="FFFF00"/>
          </a:solidFill>
          <a:ln xmlns:a="http://schemas.openxmlformats.org/drawingml/2006/main" w="19050">
            <a:solidFill>
              <a:schemeClr val="lt1"/>
            </a:solidFill>
            <a:prstDash val="solid"/>
          </a:ln>
        </spPr>
      </pivotFmt>
      <pivotFmt>
        <idx val="11"/>
        <spPr>
          <a:solidFill xmlns:a="http://schemas.openxmlformats.org/drawingml/2006/main">
            <a:schemeClr val="tx1"/>
          </a:solidFill>
          <a:ln xmlns:a="http://schemas.openxmlformats.org/drawingml/2006/main" w="19050">
            <a:solidFill>
              <a:schemeClr val="lt1"/>
            </a:solidFill>
            <a:prstDash val="solid"/>
          </a:ln>
        </spPr>
      </pivotFmt>
      <pivotFmt>
        <idx val="12"/>
        <spPr>
          <a:solidFill xmlns:a="http://schemas.openxmlformats.org/drawingml/2006/main">
            <a:srgbClr val="7030A0"/>
          </a:solidFill>
          <a:ln xmlns:a="http://schemas.openxmlformats.org/drawingml/2006/main" w="19050">
            <a:solidFill>
              <a:schemeClr val="lt1"/>
            </a:solidFill>
            <a:prstDash val="solid"/>
          </a:ln>
        </spPr>
      </pivotFmt>
      <pivotFmt>
        <idx val="13"/>
        <spPr>
          <a:solidFill xmlns:a="http://schemas.openxmlformats.org/drawingml/2006/main">
            <a:schemeClr val="tx1"/>
          </a:solidFill>
          <a:ln xmlns:a="http://schemas.openxmlformats.org/drawingml/2006/main" w="19050">
            <a:solidFill>
              <a:schemeClr val="lt1"/>
            </a:solidFill>
            <a:prstDash val="solid"/>
          </a:ln>
        </spPr>
      </pivotFmt>
      <pivotFmt>
        <idx val="14"/>
        <spPr>
          <a:solidFill xmlns:a="http://schemas.openxmlformats.org/drawingml/2006/main">
            <a:schemeClr val="accent1"/>
          </a:solidFill>
          <a:ln xmlns:a="http://schemas.openxmlformats.org/drawingml/2006/main" w="19050">
            <a:solidFill>
              <a:schemeClr val="lt1"/>
            </a:solidFill>
            <a:prstDash val="solid"/>
          </a:ln>
        </spPr>
        <marker>
          <symbol val="none"/>
          <spPr>
            <a:ln xmlns:a="http://schemas.openxmlformats.org/drawingml/2006/main">
              <a:prstDash val="solid"/>
            </a:ln>
          </spPr>
        </marker>
        <dLbl>
          <idx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ellipsis" vert="horz" wrap="square" lIns="38100" tIns="19050" rIns="38100" bIns="19050" anchor="ctr" anchorCtr="1">
              <a:spAutoFit/>
            </a:bodyPr>
            <a:lstStyle xmlns:a="http://schemas.openxmlformats.org/drawingml/2006/main"/>
            <a:p xmlns:a="http://schemas.openxmlformats.org/drawingml/2006/main"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  <showLegendKey val="0"/>
          <showVal val="0"/>
          <showCatName val="0"/>
          <showSerName val="0"/>
          <showPercent val="0"/>
          <showBubbleSize val="0"/>
        </dLbl>
      </pivotFmt>
      <pivotFmt>
        <idx val="15"/>
        <spPr>
          <a:solidFill xmlns:a="http://schemas.openxmlformats.org/drawingml/2006/main">
            <a:srgbClr val="00B050"/>
          </a:solidFill>
          <a:ln xmlns:a="http://schemas.openxmlformats.org/drawingml/2006/main" w="19050">
            <a:solidFill>
              <a:schemeClr val="lt1"/>
            </a:solidFill>
            <a:prstDash val="solid"/>
          </a:ln>
        </spPr>
      </pivotFmt>
      <pivotFmt>
        <idx val="16"/>
        <spPr>
          <a:solidFill xmlns:a="http://schemas.openxmlformats.org/drawingml/2006/main">
            <a:srgbClr val="00B0F0"/>
          </a:solidFill>
          <a:ln xmlns:a="http://schemas.openxmlformats.org/drawingml/2006/main" w="19050">
            <a:solidFill>
              <a:schemeClr val="lt1"/>
            </a:solidFill>
            <a:prstDash val="solid"/>
          </a:ln>
        </spPr>
      </pivotFmt>
      <pivotFmt>
        <idx val="17"/>
        <spPr>
          <a:solidFill xmlns:a="http://schemas.openxmlformats.org/drawingml/2006/main">
            <a:srgbClr val="FFFF00"/>
          </a:solidFill>
          <a:ln xmlns:a="http://schemas.openxmlformats.org/drawingml/2006/main" w="19050">
            <a:solidFill>
              <a:schemeClr val="lt1"/>
            </a:solidFill>
            <a:prstDash val="solid"/>
          </a:ln>
        </spPr>
      </pivotFmt>
      <pivotFmt>
        <idx val="18"/>
        <spPr>
          <a:solidFill xmlns:a="http://schemas.openxmlformats.org/drawingml/2006/main">
            <a:schemeClr val="tx1"/>
          </a:solidFill>
          <a:ln xmlns:a="http://schemas.openxmlformats.org/drawingml/2006/main" w="19050">
            <a:solidFill>
              <a:schemeClr val="lt1"/>
            </a:solidFill>
            <a:prstDash val="solid"/>
          </a:ln>
        </spPr>
      </pivotFmt>
      <pivotFmt>
        <idx val="19"/>
        <spPr>
          <a:solidFill xmlns:a="http://schemas.openxmlformats.org/drawingml/2006/main">
            <a:srgbClr val="7030A0"/>
          </a:solidFill>
          <a:ln xmlns:a="http://schemas.openxmlformats.org/drawingml/2006/main" w="19050">
            <a:solidFill>
              <a:schemeClr val="lt1"/>
            </a:solidFill>
            <a:prstDash val="solid"/>
          </a:ln>
        </spPr>
      </pivotFmt>
      <pivotFmt>
        <idx val="20"/>
        <spPr>
          <a:solidFill xmlns:a="http://schemas.openxmlformats.org/drawingml/2006/main">
            <a:schemeClr val="tx1"/>
          </a:solidFill>
          <a:ln xmlns:a="http://schemas.openxmlformats.org/drawingml/2006/main" w="19050">
            <a:solidFill>
              <a:schemeClr val="lt1"/>
            </a:solidFill>
            <a:prstDash val="solid"/>
          </a:ln>
        </spPr>
      </pivotFmt>
    </pivotFmts>
    <plotArea>
      <layout>
        <manualLayout>
          <layoutTarget val="inner"/>
          <xMode val="edge"/>
          <yMode val="edge"/>
          <wMode val="factor"/>
          <hMode val="factor"/>
          <x val="0.3001988188976378"/>
          <y val="0.1783796296296296"/>
          <w val="0.4596388888888889"/>
          <h val="0.7660648148148148"/>
        </manualLayout>
      </layout>
      <doughnutChart>
        <varyColors val="1"/>
        <ser>
          <idx val="0"/>
          <order val="0"/>
          <tx>
            <strRef>
              <f>Sheet1!$L$5</f>
              <strCache>
                <ptCount val="1"/>
                <pt idx="0">
                  <v>Total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dPt>
            <idx val="0"/>
            <bubble3D val="0"/>
            <spPr>
              <a:solidFill xmlns:a="http://schemas.openxmlformats.org/drawingml/2006/main">
                <a:srgbClr val="00B050"/>
              </a:solidFill>
              <a:ln xmlns:a="http://schemas.openxmlformats.org/drawingml/2006/main" w="19050">
                <a:solidFill>
                  <a:schemeClr val="lt1"/>
                </a:solidFill>
                <a:prstDash val="solid"/>
              </a:ln>
            </spPr>
          </dPt>
          <dPt>
            <idx val="1"/>
            <bubble3D val="0"/>
            <spPr>
              <a:solidFill xmlns:a="http://schemas.openxmlformats.org/drawingml/2006/main">
                <a:srgbClr val="00B0F0"/>
              </a:solidFill>
              <a:ln xmlns:a="http://schemas.openxmlformats.org/drawingml/2006/main" w="19050">
                <a:solidFill>
                  <a:schemeClr val="lt1"/>
                </a:solidFill>
                <a:prstDash val="solid"/>
              </a:ln>
            </spPr>
          </dPt>
          <dPt>
            <idx val="2"/>
            <bubble3D val="0"/>
            <spPr>
              <a:solidFill xmlns:a="http://schemas.openxmlformats.org/drawingml/2006/main">
                <a:srgbClr val="FFFF00"/>
              </a:solidFill>
              <a:ln xmlns:a="http://schemas.openxmlformats.org/drawingml/2006/main" w="19050">
                <a:solidFill>
                  <a:schemeClr val="lt1"/>
                </a:solidFill>
                <a:prstDash val="solid"/>
              </a:ln>
            </spPr>
          </dPt>
          <dPt>
            <idx val="3"/>
            <bubble3D val="0"/>
            <spPr>
              <a:solidFill xmlns:a="http://schemas.openxmlformats.org/drawingml/2006/main">
                <a:schemeClr val="tx1"/>
              </a:solidFill>
              <a:ln xmlns:a="http://schemas.openxmlformats.org/drawingml/2006/main" w="19050">
                <a:solidFill>
                  <a:schemeClr val="lt1"/>
                </a:solidFill>
                <a:prstDash val="solid"/>
              </a:ln>
            </spPr>
          </dPt>
          <dPt>
            <idx val="4"/>
            <bubble3D val="0"/>
            <spPr>
              <a:solidFill xmlns:a="http://schemas.openxmlformats.org/drawingml/2006/main">
                <a:srgbClr val="7030A0"/>
              </a:solidFill>
              <a:ln xmlns:a="http://schemas.openxmlformats.org/drawingml/2006/main" w="19050">
                <a:solidFill>
                  <a:schemeClr val="lt1"/>
                </a:solidFill>
                <a:prstDash val="solid"/>
              </a:ln>
            </spPr>
          </dPt>
          <dPt>
            <idx val="5"/>
            <bubble3D val="0"/>
            <spPr>
              <a:solidFill xmlns:a="http://schemas.openxmlformats.org/drawingml/2006/main">
                <a:schemeClr val="tx1"/>
              </a:solidFill>
              <a:ln xmlns:a="http://schemas.openxmlformats.org/drawingml/2006/main" w="19050">
                <a:solidFill>
                  <a:schemeClr val="lt1"/>
                </a:solidFill>
                <a:prstDash val="solid"/>
              </a:ln>
            </spPr>
          </dPt>
          <cat>
            <strRef>
              <f>Sheet1!$K$6:$K$12</f>
              <strCache>
                <ptCount val="6"/>
                <pt idx="0">
                  <v>Bollywood</v>
                </pt>
                <pt idx="1">
                  <v>Hip-Hop</v>
                </pt>
                <pt idx="2">
                  <v>Indie</v>
                </pt>
                <pt idx="3">
                  <v>Pop</v>
                </pt>
                <pt idx="4">
                  <v>Punjabi</v>
                </pt>
                <pt idx="5">
                  <v>R&amp;B</v>
                </pt>
              </strCache>
            </strRef>
          </cat>
          <val>
            <numRef>
              <f>Sheet1!$L$6:$L$12</f>
              <numCache>
                <formatCode>General</formatCode>
                <ptCount val="6"/>
                <pt idx="0">
                  <v>261437.6</v>
                </pt>
                <pt idx="1">
                  <v>32401.5</v>
                </pt>
                <pt idx="2">
                  <v>28834.4</v>
                </pt>
                <pt idx="3">
                  <v>128668</v>
                </pt>
                <pt idx="4">
                  <v>78385</v>
                </pt>
                <pt idx="5">
                  <v>9018.6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1"/>
        </dLbls>
        <firstSliceAng val="0"/>
        <holeSize val="75"/>
      </doughnutChart>
    </plotArea>
    <legend>
      <legendPos val="r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legend>
    <plotVisOnly val="1"/>
    <dispBlanksAs val="gap"/>
  </chart>
  <spPr>
    <a:solidFill xmlns:a="http://schemas.openxmlformats.org/drawingml/2006/main">
      <a:schemeClr val="tx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image" Target="/xl/media/image1.png" Id="rId5"/><Relationship Type="http://schemas.openxmlformats.org/officeDocument/2006/relationships/image" Target="/xl/media/image2.jpeg" Id="rId6"/></Relationships>
</file>

<file path=xl/drawings/drawing1.xml><?xml version="1.0" encoding="utf-8"?>
<wsDr xmlns="http://schemas.openxmlformats.org/drawingml/2006/spreadsheetDrawing">
  <twoCellAnchor>
    <from>
      <col>2</col>
      <colOff>0</colOff>
      <row>11</row>
      <rowOff>0</rowOff>
    </from>
    <to>
      <col>5</col>
      <colOff>632460</colOff>
      <row>24</row>
      <rowOff>38100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5</col>
      <colOff>762000</colOff>
      <row>10</row>
      <rowOff>160020</rowOff>
    </from>
    <to>
      <col>9</col>
      <colOff>830580</colOff>
      <row>24</row>
      <rowOff>53340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  <twoCellAnchor>
    <from>
      <col>2</col>
      <colOff>0</colOff>
      <row>25</row>
      <rowOff>0</rowOff>
    </from>
    <to>
      <col>5</col>
      <colOff>647700</colOff>
      <row>38</row>
      <rowOff>106680</rowOff>
    </to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twoCellAnchor>
  <twoCellAnchor>
    <from>
      <col>5</col>
      <colOff>731520</colOff>
      <row>25</row>
      <rowOff>0</rowOff>
    </from>
    <to>
      <col>9</col>
      <colOff>883920</colOff>
      <row>38</row>
      <rowOff>91440</rowOff>
    </to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twoCellAnchor>
  <twoCellAnchor editAs="oneCell">
    <from>
      <col>11</col>
      <colOff>15240</colOff>
      <row>0</row>
      <rowOff>83820</rowOff>
    </from>
    <to>
      <col>12</col>
      <colOff>426720</colOff>
      <row>2</row>
      <rowOff>105791</rowOff>
    </to>
    <pic>
      <nvPicPr>
        <cNvPr id="6" name="Picture 5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5"/>
        <a:stretch xmlns:a="http://schemas.openxmlformats.org/drawingml/2006/main">
          <a:fillRect/>
        </a:stretch>
      </blipFill>
      <spPr>
        <a:xfrm xmlns:a="http://schemas.openxmlformats.org/drawingml/2006/main">
          <a:off x="10408920" y="83820"/>
          <a:ext cx="1424940" cy="669671"/>
        </a:xfrm>
        <a:prstGeom xmlns:a="http://schemas.openxmlformats.org/drawingml/2006/main" prst="rect">
          <avLst/>
        </a:prstGeom>
        <a:solidFill xmlns:a="http://schemas.openxmlformats.org/drawingml/2006/main">
          <a:srgbClr val="0B141A"/>
        </a:solidFill>
        <a:ln xmlns:a="http://schemas.openxmlformats.org/drawingml/2006/main">
          <a:prstDash val="solid"/>
        </a:ln>
      </spPr>
    </pic>
    <clientData/>
  </twoCellAnchor>
  <twoCellAnchor editAs="oneCell">
    <from>
      <col>13</col>
      <colOff>96520</colOff>
      <row>10</row>
      <rowOff>83820</rowOff>
    </from>
    <to>
      <col>22</col>
      <colOff>269240</colOff>
      <row>39</row>
      <rowOff>167640</rowOff>
    </to>
    <pic>
      <nvPicPr>
        <cNvPr id="7" name="Picture 6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6"/>
        <a:stretch xmlns:a="http://schemas.openxmlformats.org/drawingml/2006/main">
          <a:fillRect/>
        </a:stretch>
      </blipFill>
      <spPr>
        <a:xfrm xmlns:a="http://schemas.openxmlformats.org/drawingml/2006/main">
          <a:off x="12136120" y="2141220"/>
          <a:ext cx="5659120" cy="524002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pivotCache/_rels/pivotCacheDefinition1.xml.rels><Relationships xmlns="http://schemas.openxmlformats.org/package/2006/relationships"><Relationship Type="http://schemas.openxmlformats.org/officeDocument/2006/relationships/pivotCacheRecords" Target="/xl/pivotCache/pivotCacheRecords1.xml" Id="rId1"/></Relationships>
</file>

<file path=xl/pivotCache/pivotCacheDefinition1.xml><?xml version="1.0" encoding="utf-8"?>
<pivotCacheDefinition xmlns:r="http://schemas.openxmlformats.org/officeDocument/2006/relationships" xmlns="http://schemas.openxmlformats.org/spreadsheetml/2006/main" refreshedBy="kunal saxena" refreshedDate="46285.88385694444" createdVersion="8" refreshedVersion="8" minRefreshableVersion="3" recordCount="100" r:id="rId1">
  <cacheSource type="worksheet">
    <worksheetSource name="Table1"/>
  </cacheSource>
  <cacheFields count="15">
    <cacheField name="Track ID" uniqueList="1" numFmtId="0" sqlType="0" hierarchy="0" level="0" databaseField="1">
      <sharedItems count="0" containsInteger="1" containsNumber="1" containsSemiMixedTypes="0" containsString="0" minValue="1" maxValue="100"/>
    </cacheField>
    <cacheField name="Date" uniqueList="1" numFmtId="164" sqlType="0" hierarchy="0" level="0" databaseField="1">
      <sharedItems count="0" containsDate="1" containsNonDate="0" containsSemiMixedTypes="0" containsString="0" minDate="2025-01-01T00:00:00" maxDate="2025-12-30T00:00:00"/>
    </cacheField>
    <cacheField name="Month" uniqueList="1" numFmtId="0" sqlType="0" hierarchy="0" level="0" databaseField="1">
      <sharedItems count="12">
        <s v="February"/>
        <s v="October"/>
        <s v="April"/>
        <s v="August"/>
        <s v="July"/>
        <s v="May"/>
        <s v="June"/>
        <s v="March"/>
        <s v="November"/>
        <s v="January"/>
        <s v="September"/>
        <s v="December"/>
      </sharedItems>
    </cacheField>
    <cacheField name="Day" uniqueList="1" numFmtId="0" sqlType="0" hierarchy="0" level="0" databaseField="1">
      <sharedItems count="0"/>
    </cacheField>
    <cacheField name="Hour" uniqueList="1" numFmtId="0" sqlType="0" hierarchy="0" level="0" databaseField="1">
      <sharedItems count="0" containsInteger="1" containsNumber="1" containsSemiMixedTypes="0" containsString="0" minValue="6" maxValue="23"/>
    </cacheField>
    <cacheField name="Time Period" uniqueList="1" numFmtId="0" sqlType="0" hierarchy="0" level="0" databaseField="1">
      <sharedItems count="0"/>
    </cacheField>
    <cacheField name="Song Name" uniqueList="1" numFmtId="0" sqlType="0" hierarchy="0" level="0" databaseField="1">
      <sharedItems count="41">
        <s v="Teri Baaton Mein Aisa Uljha Jiya"/>
        <s v="Apna Bana Le"/>
        <s v="Kesariya"/>
        <s v="Born To Shine"/>
        <s v="New Rules"/>
        <s v="Agar Tum Saath Ho"/>
        <s v="Tauba Tauba"/>
        <s v="Photograph"/>
        <s v="Sun Raha Hai"/>
        <s v="Excuses"/>
        <s v="Shape of You"/>
        <s v="Tum Kya Mile"/>
        <s v="Lut Gaye"/>
        <s v="O Maahi"/>
        <s v="Circles"/>
        <s v="Levitating"/>
        <s v="Love Yourself"/>
        <s v="Save Your Tears"/>
        <s v="Heeriye"/>
        <s v="Blinding Lights"/>
        <s v="Param Sundari"/>
        <s v="Sunflower"/>
        <s v="Lovely"/>
        <s v="After Hours"/>
        <s v="Lover"/>
        <s v="With You"/>
        <s v="Perfect"/>
        <s v="Ve Kamleya"/>
        <s v="Stay"/>
        <s v="Manwa Laage"/>
        <s v="Raataan Lambiyan"/>
        <s v="Gul"/>
        <s v="Humnava Mere"/>
        <s v="Chaleya"/>
        <s v="Starboy"/>
        <s v="Satranga"/>
        <s v="Maan Meri Jaan"/>
        <s v="Softly"/>
        <s v="What Was I Made For?"/>
        <s v="Husn"/>
        <s v="Saibo"/>
      </sharedItems>
    </cacheField>
    <cacheField name="Artist" uniqueList="1" numFmtId="0" sqlType="0" hierarchy="0" level="0" databaseField="1">
      <sharedItems count="15">
        <s v="Arijit Singh"/>
        <s v="Diljit Dosanjh"/>
        <s v="Dua Lipa"/>
        <s v="Karan Aujla"/>
        <s v="Ed Sheeran"/>
        <s v="Shreya Ghoshal"/>
        <s v="AP Dhillon"/>
        <s v="Jubin Nautiyal"/>
        <s v="Post Malone"/>
        <s v="Justin Bieber"/>
        <s v="The Weeknd"/>
        <s v="Jasleen Royal"/>
        <s v="Billie Eilish"/>
        <s v="Anuv Jain"/>
        <s v="King"/>
      </sharedItems>
    </cacheField>
    <cacheField name="Album" uniqueList="1" numFmtId="0" sqlType="0" hierarchy="0" level="0" databaseField="1">
      <sharedItems count="0"/>
    </cacheField>
    <cacheField name="Genre" uniqueList="1" numFmtId="0" sqlType="0" hierarchy="0" level="0" databaseField="1">
      <sharedItems count="6">
        <s v="Bollywood"/>
        <s v="Punjabi"/>
        <s v="Pop"/>
        <s v="Hip-Hop"/>
        <s v="R&amp;B"/>
        <s v="Indie"/>
      </sharedItems>
    </cacheField>
    <cacheField name="Language" uniqueList="1" numFmtId="0" sqlType="0" hierarchy="0" level="0" databaseField="1">
      <sharedItems count="0"/>
    </cacheField>
    <cacheField name="Plays" uniqueList="1" numFmtId="0" sqlType="0" hierarchy="0" level="0" databaseField="1">
      <sharedItems count="97" containsInteger="1" containsNumber="1" containsSemiMixedTypes="0" containsString="0" minValue="251" maxValue="2853">
        <n v="2812"/>
        <n v="2436"/>
        <n v="2128"/>
        <n v="2089"/>
        <n v="1643"/>
        <n v="646"/>
        <n v="761"/>
        <n v="534"/>
        <n v="1806"/>
        <n v="1108"/>
        <n v="919"/>
        <n v="381"/>
        <n v="1120"/>
        <n v="1260"/>
        <n v="816"/>
        <n v="905"/>
        <n v="2417"/>
        <n v="1342"/>
        <n v="1328"/>
        <n v="2744"/>
        <n v="2703"/>
        <n v="487"/>
        <n v="2431"/>
        <n v="2411"/>
        <n v="1526"/>
        <n v="745"/>
        <n v="1192"/>
        <n v="378"/>
        <n v="1127"/>
        <n v="1029"/>
        <n v="2162"/>
        <n v="697"/>
        <n v="1390"/>
        <n v="457"/>
        <n v="2239"/>
        <n v="258"/>
        <n v="2526"/>
        <n v="2470"/>
        <n v="2309"/>
        <n v="528"/>
        <n v="1967"/>
        <n v="1536"/>
        <n v="547"/>
        <n v="2322"/>
        <n v="1417"/>
        <n v="2521"/>
        <n v="688"/>
        <n v="2847"/>
        <n v="1984"/>
        <n v="911"/>
        <n v="558"/>
        <n v="772"/>
        <n v="1272"/>
        <n v="975"/>
        <n v="1161"/>
        <n v="1163"/>
        <n v="1393"/>
        <n v="722"/>
        <n v="2029"/>
        <n v="723"/>
        <n v="2036"/>
        <n v="1602"/>
        <n v="1922"/>
        <n v="1972"/>
        <n v="251"/>
        <n v="2061"/>
        <n v="2842"/>
        <n v="853"/>
        <n v="2829"/>
        <n v="854"/>
        <n v="2371"/>
        <n v="2153"/>
        <n v="1997"/>
        <n v="1262"/>
        <n v="567"/>
        <n v="1919"/>
        <n v="1845"/>
        <n v="1690"/>
        <n v="1153"/>
        <n v="1626"/>
        <n v="360"/>
        <n v="805"/>
        <n v="2112"/>
        <n v="585"/>
        <n v="531"/>
        <n v="874"/>
        <n v="1299"/>
        <n v="2620"/>
        <n v="2675"/>
        <n v="1672"/>
        <n v="1647"/>
        <n v="2853"/>
        <n v="1356"/>
        <n v="1570"/>
        <n v="1581"/>
        <n v="2691"/>
        <n v="2251"/>
      </sharedItems>
    </cacheField>
    <cacheField name="Duration (min)" uniqueList="1" numFmtId="0" sqlType="0" hierarchy="0" level="0" databaseField="1">
      <sharedItems count="0" containsInteger="1" containsNumber="1" containsSemiMixedTypes="0" containsString="0" minValue="2" maxValue="5"/>
    </cacheField>
    <cacheField name="Listening Minutes" uniqueList="1" numFmtId="0" sqlType="0" hierarchy="0" level="0" databaseField="1">
      <sharedItems count="0" containsNumber="1" containsSemiMixedTypes="0" containsString="0" minValue="837.7" maxValue="12550.3"/>
    </cacheField>
    <cacheField name="Platform" uniqueList="1" numFmtId="0" sqlType="0" hierarchy="0" level="0" databaseField="1">
      <sharedItems count="0"/>
    </cacheField>
  </cacheFields>
</pivotCacheDefinition>
</file>

<file path=xl/pivotCache/pivotCacheRecords1.xml><?xml version="1.0" encoding="utf-8"?>
<pivotCacheRecords xmlns="http://schemas.openxmlformats.org/spreadsheetml/2006/main" count="100">
  <r>
    <n v="1"/>
    <d v="2025-02-27T00:00:00"/>
    <x v="0"/>
    <s v="Thursday"/>
    <n v="9"/>
    <s v="Morning"/>
    <x v="0"/>
    <x v="0"/>
    <s v="Teri Baaton Mein Aisa Uljha Jiya"/>
    <x v="0"/>
    <s v="Hindi"/>
    <x v="0"/>
    <n v="4"/>
    <n v="1126.4"/>
    <s v="iOS"/>
  </r>
  <r>
    <n v="2"/>
    <d v="2025-10-07T00:00:00"/>
    <x v="1"/>
    <s v="Tuesday"/>
    <n v="8"/>
    <s v="Morning"/>
    <x v="1"/>
    <x v="0"/>
    <s v="Bhediya"/>
    <x v="0"/>
    <s v="Hindi"/>
    <x v="1"/>
    <n v="5"/>
    <n v="2731.9"/>
    <s v="Android"/>
  </r>
  <r>
    <n v="3"/>
    <d v="2025-04-30T00:00:00"/>
    <x v="2"/>
    <s v="Wednesday"/>
    <n v="23"/>
    <s v="Night"/>
    <x v="2"/>
    <x v="0"/>
    <s v="Brahmastra"/>
    <x v="0"/>
    <s v="Hindi"/>
    <x v="2"/>
    <n v="5"/>
    <n v="9243.1"/>
    <s v="iOS"/>
  </r>
  <r>
    <n v="4"/>
    <d v="2025-04-23T00:00:00"/>
    <x v="2"/>
    <s v="Wednesday"/>
    <n v="11"/>
    <s v="Morning"/>
    <x v="3"/>
    <x v="1"/>
    <s v="G.O.A.T."/>
    <x v="1"/>
    <s v="Punjabi"/>
    <x v="3"/>
    <n v="5"/>
    <n v="8965.5"/>
    <s v="Android"/>
  </r>
  <r>
    <n v="5"/>
    <d v="2025-08-05T00:00:00"/>
    <x v="3"/>
    <s v="Tuesday"/>
    <n v="9"/>
    <s v="Morning"/>
    <x v="4"/>
    <x v="2"/>
    <s v="Dua Lipa"/>
    <x v="2"/>
    <s v="English"/>
    <x v="4"/>
    <n v="4"/>
    <n v="5122.4"/>
    <s v="Web Player"/>
  </r>
  <r>
    <n v="6"/>
    <d v="2025-07-14T00:00:00"/>
    <x v="4"/>
    <s v="Monday"/>
    <n v="7"/>
    <s v="Morning"/>
    <x v="5"/>
    <x v="0"/>
    <s v="Tamasha"/>
    <x v="0"/>
    <s v="Hindi"/>
    <x v="5"/>
    <n v="4"/>
    <n v="2693.1"/>
    <s v="Web Player"/>
  </r>
  <r>
    <n v="7"/>
    <d v="2025-10-02T00:00:00"/>
    <x v="1"/>
    <s v="Thursday"/>
    <n v="17"/>
    <s v="Evening"/>
    <x v="6"/>
    <x v="3"/>
    <s v="Bad Newz"/>
    <x v="0"/>
    <s v="Punjabi"/>
    <x v="6"/>
    <n v="4"/>
    <n v="2545.2"/>
    <s v="Web Player"/>
  </r>
  <r>
    <n v="8"/>
    <d v="2025-04-09T00:00:00"/>
    <x v="2"/>
    <s v="Wednesday"/>
    <n v="8"/>
    <s v="Morning"/>
    <x v="7"/>
    <x v="4"/>
    <s v="X"/>
    <x v="2"/>
    <s v="English"/>
    <x v="7"/>
    <n v="3"/>
    <n v="1476.5"/>
    <s v="Web Player"/>
  </r>
  <r>
    <n v="9"/>
    <d v="2025-02-21T00:00:00"/>
    <x v="0"/>
    <s v="Friday"/>
    <n v="11"/>
    <s v="Morning"/>
    <x v="8"/>
    <x v="5"/>
    <s v="Aashiqui 2"/>
    <x v="0"/>
    <s v="Hindi"/>
    <x v="8"/>
    <n v="4"/>
    <n v="6204.2"/>
    <s v="Web Player"/>
  </r>
  <r>
    <n v="10"/>
    <d v="2025-07-01T00:00:00"/>
    <x v="4"/>
    <s v="Tuesday"/>
    <n v="11"/>
    <s v="Morning"/>
    <x v="9"/>
    <x v="6"/>
    <s v="Excuse"/>
    <x v="1"/>
    <s v="Punjabi"/>
    <x v="9"/>
    <n v="4"/>
    <n v="4049.8"/>
    <s v="Android"/>
  </r>
  <r>
    <n v="11"/>
    <d v="2025-05-06T00:00:00"/>
    <x v="5"/>
    <s v="Tuesday"/>
    <n v="16"/>
    <s v="Afternoon"/>
    <x v="10"/>
    <x v="4"/>
    <s v="Divide"/>
    <x v="2"/>
    <s v="English"/>
    <x v="10"/>
    <n v="4"/>
    <n v="3674"/>
    <s v="iOS"/>
  </r>
  <r>
    <n v="12"/>
    <d v="2025-04-28T00:00:00"/>
    <x v="2"/>
    <s v="Monday"/>
    <n v="12"/>
    <s v="Afternoon"/>
    <x v="11"/>
    <x v="0"/>
    <s v="Rocky Aur Rani Kii Prem Kahaani"/>
    <x v="0"/>
    <s v="Hindi"/>
    <x v="11"/>
    <n v="4"/>
    <n v="1334.8"/>
    <s v="Android"/>
  </r>
  <r>
    <n v="13"/>
    <d v="2025-06-11T00:00:00"/>
    <x v="6"/>
    <s v="Wednesday"/>
    <n v="10"/>
    <s v="Morning"/>
    <x v="7"/>
    <x v="4"/>
    <s v="X"/>
    <x v="2"/>
    <s v="English"/>
    <x v="12"/>
    <n v="5"/>
    <n v="4638.8"/>
    <s v="Desktop"/>
  </r>
  <r>
    <n v="14"/>
    <d v="2025-03-13T00:00:00"/>
    <x v="7"/>
    <s v="Thursday"/>
    <n v="18"/>
    <s v="Evening"/>
    <x v="12"/>
    <x v="7"/>
    <s v="Lut Gaye"/>
    <x v="0"/>
    <s v="Hindi"/>
    <x v="13"/>
    <n v="5"/>
    <n v="5744"/>
    <s v="Desktop"/>
  </r>
  <r>
    <n v="15"/>
    <d v="2025-04-23T00:00:00"/>
    <x v="2"/>
    <s v="Wednesday"/>
    <n v="9"/>
    <s v="Morning"/>
    <x v="9"/>
    <x v="6"/>
    <s v="Excuse"/>
    <x v="1"/>
    <s v="Punjabi"/>
    <x v="14"/>
    <n v="5"/>
    <n v="3518.8"/>
    <s v="Android"/>
  </r>
  <r>
    <n v="16"/>
    <d v="2025-11-18T00:00:00"/>
    <x v="8"/>
    <s v="Tuesday"/>
    <n v="18"/>
    <s v="Evening"/>
    <x v="13"/>
    <x v="0"/>
    <s v="Dunki"/>
    <x v="0"/>
    <s v="Hindi"/>
    <x v="15"/>
    <n v="4"/>
    <n v="3735.3"/>
    <s v="Desktop"/>
  </r>
  <r>
    <n v="17"/>
    <d v="2025-08-28T00:00:00"/>
    <x v="3"/>
    <s v="Thursday"/>
    <n v="9"/>
    <s v="Morning"/>
    <x v="14"/>
    <x v="8"/>
    <s v="Hollywood's Bleeding"/>
    <x v="3"/>
    <s v="English"/>
    <x v="16"/>
    <n v="3"/>
    <n v="9362.799999999999"/>
    <s v="Android"/>
  </r>
  <r>
    <n v="18"/>
    <d v="2025-10-02T00:00:00"/>
    <x v="1"/>
    <s v="Thursday"/>
    <n v="11"/>
    <s v="Morning"/>
    <x v="15"/>
    <x v="2"/>
    <s v="Future Nostalgia"/>
    <x v="2"/>
    <s v="English"/>
    <x v="17"/>
    <n v="4"/>
    <n v="4389.2"/>
    <s v="Desktop"/>
  </r>
  <r>
    <n v="19"/>
    <d v="2025-01-02T00:00:00"/>
    <x v="9"/>
    <s v="Thursday"/>
    <n v="15"/>
    <s v="Afternoon"/>
    <x v="6"/>
    <x v="3"/>
    <s v="Bad Newz"/>
    <x v="0"/>
    <s v="Punjabi"/>
    <x v="18"/>
    <n v="5"/>
    <n v="6157.2"/>
    <s v="Android"/>
  </r>
  <r>
    <n v="20"/>
    <d v="2025-09-17T00:00:00"/>
    <x v="10"/>
    <s v="Wednesday"/>
    <n v="23"/>
    <s v="Night"/>
    <x v="16"/>
    <x v="9"/>
    <s v="Purpose"/>
    <x v="2"/>
    <s v="English"/>
    <x v="19"/>
    <n v="3"/>
    <n v="7817.7"/>
    <s v="iOS"/>
  </r>
  <r>
    <n v="21"/>
    <d v="2025-01-01T00:00:00"/>
    <x v="9"/>
    <s v="Wednesday"/>
    <n v="17"/>
    <s v="Evening"/>
    <x v="17"/>
    <x v="10"/>
    <s v="After Hours"/>
    <x v="2"/>
    <s v="English"/>
    <x v="20"/>
    <n v="4"/>
    <n v="9806.9"/>
    <s v="Android"/>
  </r>
  <r>
    <n v="22"/>
    <d v="2025-05-03T00:00:00"/>
    <x v="5"/>
    <s v="Saturday"/>
    <n v="8"/>
    <s v="Morning"/>
    <x v="18"/>
    <x v="11"/>
    <s v="Heeriye"/>
    <x v="0"/>
    <s v="Hindi"/>
    <x v="21"/>
    <n v="3"/>
    <n v="1816.5"/>
    <s v="Android"/>
  </r>
  <r>
    <n v="23"/>
    <d v="2025-02-05T00:00:00"/>
    <x v="0"/>
    <s v="Wednesday"/>
    <n v="23"/>
    <s v="Night"/>
    <x v="19"/>
    <x v="10"/>
    <s v="After Hours"/>
    <x v="2"/>
    <s v="English"/>
    <x v="22"/>
    <n v="3"/>
    <n v="6318.6"/>
    <s v="Desktop"/>
  </r>
  <r>
    <n v="24"/>
    <d v="2025-05-16T00:00:00"/>
    <x v="5"/>
    <s v="Friday"/>
    <n v="23"/>
    <s v="Night"/>
    <x v="20"/>
    <x v="5"/>
    <s v="Mimi"/>
    <x v="0"/>
    <s v="Hindi"/>
    <x v="23"/>
    <n v="5"/>
    <n v="11006.4"/>
    <s v="iOS"/>
  </r>
  <r>
    <n v="25"/>
    <d v="2025-04-13T00:00:00"/>
    <x v="2"/>
    <s v="Sunday"/>
    <n v="20"/>
    <s v="Evening"/>
    <x v="4"/>
    <x v="2"/>
    <s v="Dua Lipa"/>
    <x v="2"/>
    <s v="English"/>
    <x v="24"/>
    <n v="4"/>
    <n v="6895.2"/>
    <s v="Web Player"/>
  </r>
  <r>
    <n v="26"/>
    <d v="2025-08-20T00:00:00"/>
    <x v="3"/>
    <s v="Wednesday"/>
    <n v="6"/>
    <s v="Morning"/>
    <x v="17"/>
    <x v="10"/>
    <s v="After Hours"/>
    <x v="2"/>
    <s v="English"/>
    <x v="25"/>
    <n v="3"/>
    <n v="2300.4"/>
    <s v="Web Player"/>
  </r>
  <r>
    <n v="27"/>
    <d v="2025-10-11T00:00:00"/>
    <x v="1"/>
    <s v="Saturday"/>
    <n v="7"/>
    <s v="Morning"/>
    <x v="21"/>
    <x v="8"/>
    <s v="Spider-Man: Into the Spider-Verse"/>
    <x v="3"/>
    <s v="English"/>
    <x v="26"/>
    <n v="5"/>
    <n v="5018.5"/>
    <s v="Android"/>
  </r>
  <r>
    <n v="28"/>
    <d v="2025-02-04T00:00:00"/>
    <x v="0"/>
    <s v="Tuesday"/>
    <n v="14"/>
    <s v="Afternoon"/>
    <x v="8"/>
    <x v="5"/>
    <s v="Aashiqui 2"/>
    <x v="0"/>
    <s v="Hindi"/>
    <x v="27"/>
    <n v="4"/>
    <n v="1204.9"/>
    <s v="iOS"/>
  </r>
  <r>
    <n v="29"/>
    <d v="2025-09-06T00:00:00"/>
    <x v="10"/>
    <s v="Saturday"/>
    <n v="13"/>
    <s v="Afternoon"/>
    <x v="22"/>
    <x v="12"/>
    <s v="13 Reasons Why"/>
    <x v="2"/>
    <s v="English"/>
    <x v="28"/>
    <n v="5"/>
    <n v="4435.3"/>
    <s v="Desktop"/>
  </r>
  <r>
    <n v="30"/>
    <d v="2025-07-28T00:00:00"/>
    <x v="4"/>
    <s v="Monday"/>
    <n v="17"/>
    <s v="Evening"/>
    <x v="23"/>
    <x v="10"/>
    <s v="After Hours"/>
    <x v="4"/>
    <s v="English"/>
    <x v="29"/>
    <n v="3"/>
    <n v="2543.3"/>
    <s v="Desktop"/>
  </r>
  <r>
    <n v="31"/>
    <d v="2025-07-30T00:00:00"/>
    <x v="4"/>
    <s v="Wednesday"/>
    <n v="7"/>
    <s v="Morning"/>
    <x v="24"/>
    <x v="1"/>
    <s v="G.O.A.T."/>
    <x v="1"/>
    <s v="Punjabi"/>
    <x v="30"/>
    <n v="3"/>
    <n v="6063.5"/>
    <s v="Android"/>
  </r>
  <r>
    <n v="32"/>
    <d v="2025-06-23T00:00:00"/>
    <x v="6"/>
    <s v="Monday"/>
    <n v="10"/>
    <s v="Morning"/>
    <x v="25"/>
    <x v="6"/>
    <s v="With You"/>
    <x v="1"/>
    <s v="Punjabi"/>
    <x v="31"/>
    <n v="3"/>
    <n v="2128.4"/>
    <s v="Desktop"/>
  </r>
  <r>
    <n v="33"/>
    <d v="2025-04-04T00:00:00"/>
    <x v="2"/>
    <s v="Friday"/>
    <n v="20"/>
    <s v="Evening"/>
    <x v="24"/>
    <x v="1"/>
    <s v="G.O.A.T."/>
    <x v="1"/>
    <s v="Punjabi"/>
    <x v="32"/>
    <n v="4"/>
    <n v="5328.1"/>
    <s v="Android"/>
  </r>
  <r>
    <n v="34"/>
    <d v="2025-02-20T00:00:00"/>
    <x v="0"/>
    <s v="Thursday"/>
    <n v="13"/>
    <s v="Afternoon"/>
    <x v="26"/>
    <x v="4"/>
    <s v="Divide"/>
    <x v="2"/>
    <s v="English"/>
    <x v="33"/>
    <n v="5"/>
    <n v="2234.7"/>
    <s v="Android"/>
  </r>
  <r>
    <n v="35"/>
    <d v="2025-07-28T00:00:00"/>
    <x v="4"/>
    <s v="Monday"/>
    <n v="7"/>
    <s v="Morning"/>
    <x v="20"/>
    <x v="5"/>
    <s v="Mimi"/>
    <x v="0"/>
    <s v="Hindi"/>
    <x v="34"/>
    <n v="4"/>
    <n v="8624.700000000001"/>
    <s v="Desktop"/>
  </r>
  <r>
    <n v="36"/>
    <d v="2025-07-14T00:00:00"/>
    <x v="4"/>
    <s v="Monday"/>
    <n v="15"/>
    <s v="Afternoon"/>
    <x v="20"/>
    <x v="5"/>
    <s v="Mimi"/>
    <x v="0"/>
    <s v="Hindi"/>
    <x v="35"/>
    <n v="4"/>
    <n v="929.5"/>
    <s v="Desktop"/>
  </r>
  <r>
    <n v="37"/>
    <d v="2025-12-23T00:00:00"/>
    <x v="11"/>
    <s v="Tuesday"/>
    <n v="12"/>
    <s v="Afternoon"/>
    <x v="24"/>
    <x v="1"/>
    <s v="G.O.A.T."/>
    <x v="1"/>
    <s v="Punjabi"/>
    <x v="36"/>
    <n v="4"/>
    <n v="9569.9"/>
    <s v="Web Player"/>
  </r>
  <r>
    <n v="38"/>
    <d v="2025-10-24T00:00:00"/>
    <x v="1"/>
    <s v="Friday"/>
    <n v="7"/>
    <s v="Morning"/>
    <x v="11"/>
    <x v="0"/>
    <s v="Rocky Aur Rani Kii Prem Kahaani"/>
    <x v="0"/>
    <s v="Hindi"/>
    <x v="37"/>
    <n v="3"/>
    <n v="7152.7"/>
    <s v="Android"/>
  </r>
  <r>
    <n v="39"/>
    <d v="2025-09-02T00:00:00"/>
    <x v="10"/>
    <s v="Tuesday"/>
    <n v="11"/>
    <s v="Morning"/>
    <x v="21"/>
    <x v="8"/>
    <s v="Spider-Man: Into the Spider-Verse"/>
    <x v="3"/>
    <s v="English"/>
    <x v="38"/>
    <n v="5"/>
    <n v="9077.799999999999"/>
    <s v="Android"/>
  </r>
  <r>
    <n v="40"/>
    <d v="2025-11-01T00:00:00"/>
    <x v="8"/>
    <s v="Saturday"/>
    <n v="7"/>
    <s v="Morning"/>
    <x v="27"/>
    <x v="0"/>
    <s v="Rocky Aur Rani Kii Prem Kahaani"/>
    <x v="0"/>
    <s v="Hindi"/>
    <x v="39"/>
    <n v="3"/>
    <n v="1706.1"/>
    <s v="iOS"/>
  </r>
  <r>
    <n v="41"/>
    <d v="2025-02-11T00:00:00"/>
    <x v="0"/>
    <s v="Tuesday"/>
    <n v="14"/>
    <s v="Afternoon"/>
    <x v="28"/>
    <x v="9"/>
    <s v="Justice"/>
    <x v="2"/>
    <s v="English"/>
    <x v="40"/>
    <n v="5"/>
    <n v="9208.700000000001"/>
    <s v="Web Player"/>
  </r>
  <r>
    <n v="42"/>
    <d v="2025-12-09T00:00:00"/>
    <x v="11"/>
    <s v="Tuesday"/>
    <n v="15"/>
    <s v="Afternoon"/>
    <x v="29"/>
    <x v="5"/>
    <s v="Happy New Year"/>
    <x v="0"/>
    <s v="Hindi"/>
    <x v="41"/>
    <n v="3"/>
    <n v="4767.2"/>
    <s v="iOS"/>
  </r>
  <r>
    <n v="43"/>
    <d v="2025-06-11T00:00:00"/>
    <x v="6"/>
    <s v="Wednesday"/>
    <n v="8"/>
    <s v="Morning"/>
    <x v="6"/>
    <x v="3"/>
    <s v="Bad Newz"/>
    <x v="0"/>
    <s v="Punjabi"/>
    <x v="42"/>
    <n v="2"/>
    <n v="1354.1"/>
    <s v="Android"/>
  </r>
  <r>
    <n v="44"/>
    <d v="2025-04-20T00:00:00"/>
    <x v="2"/>
    <s v="Sunday"/>
    <n v="8"/>
    <s v="Morning"/>
    <x v="10"/>
    <x v="4"/>
    <s v="Divide"/>
    <x v="2"/>
    <s v="English"/>
    <x v="43"/>
    <n v="4"/>
    <n v="7065.6"/>
    <s v="Web Player"/>
  </r>
  <r>
    <n v="45"/>
    <d v="2025-07-09T00:00:00"/>
    <x v="4"/>
    <s v="Wednesday"/>
    <n v="22"/>
    <s v="Night"/>
    <x v="30"/>
    <x v="7"/>
    <s v="Shershaah"/>
    <x v="0"/>
    <s v="Hindi"/>
    <x v="44"/>
    <n v="3"/>
    <n v="4234.3"/>
    <s v="Web Player"/>
  </r>
  <r>
    <n v="46"/>
    <d v="2025-12-08T00:00:00"/>
    <x v="11"/>
    <s v="Monday"/>
    <n v="10"/>
    <s v="Morning"/>
    <x v="0"/>
    <x v="0"/>
    <s v="Teri Baaton Mein Aisa Uljha Jiya"/>
    <x v="0"/>
    <s v="Hindi"/>
    <x v="45"/>
    <n v="4"/>
    <n v="10148.1"/>
    <s v="Android"/>
  </r>
  <r>
    <n v="47"/>
    <d v="2025-03-01T00:00:00"/>
    <x v="7"/>
    <s v="Saturday"/>
    <n v="12"/>
    <s v="Afternoon"/>
    <x v="12"/>
    <x v="7"/>
    <s v="Lut Gaye"/>
    <x v="0"/>
    <s v="Hindi"/>
    <x v="46"/>
    <n v="5"/>
    <n v="2755.3"/>
    <s v="Web Player"/>
  </r>
  <r>
    <n v="48"/>
    <d v="2025-04-15T00:00:00"/>
    <x v="2"/>
    <s v="Tuesday"/>
    <n v="7"/>
    <s v="Morning"/>
    <x v="31"/>
    <x v="13"/>
    <s v="Gul"/>
    <x v="5"/>
    <s v="Hindi"/>
    <x v="47"/>
    <n v="4"/>
    <n v="9776.6"/>
    <s v="Web Player"/>
  </r>
  <r>
    <n v="49"/>
    <d v="2025-11-21T00:00:00"/>
    <x v="8"/>
    <s v="Friday"/>
    <n v="10"/>
    <s v="Morning"/>
    <x v="5"/>
    <x v="0"/>
    <s v="Tamasha"/>
    <x v="0"/>
    <s v="Hindi"/>
    <x v="48"/>
    <n v="4"/>
    <n v="5925.8"/>
    <s v="Web Player"/>
  </r>
  <r>
    <n v="50"/>
    <d v="2025-05-15T00:00:00"/>
    <x v="5"/>
    <s v="Thursday"/>
    <n v="23"/>
    <s v="Night"/>
    <x v="16"/>
    <x v="9"/>
    <s v="Purpose"/>
    <x v="2"/>
    <s v="English"/>
    <x v="49"/>
    <n v="4"/>
    <n v="3775.6"/>
    <s v="Desktop"/>
  </r>
  <r>
    <n v="51"/>
    <d v="2025-02-27T00:00:00"/>
    <x v="0"/>
    <s v="Thursday"/>
    <n v="23"/>
    <s v="Night"/>
    <x v="0"/>
    <x v="0"/>
    <s v="Teri Baaton Mein Aisa Uljha Jiya"/>
    <x v="0"/>
    <s v="Hindi"/>
    <x v="50"/>
    <n v="3"/>
    <n v="1707.2"/>
    <s v="Web Player"/>
  </r>
  <r>
    <n v="52"/>
    <d v="2025-08-09T00:00:00"/>
    <x v="3"/>
    <s v="Saturday"/>
    <n v="17"/>
    <s v="Evening"/>
    <x v="13"/>
    <x v="0"/>
    <s v="Dunki"/>
    <x v="0"/>
    <s v="Hindi"/>
    <x v="51"/>
    <n v="3"/>
    <n v="1904.6"/>
    <s v="Android"/>
  </r>
  <r>
    <n v="53"/>
    <d v="2025-12-16T00:00:00"/>
    <x v="11"/>
    <s v="Tuesday"/>
    <n v="10"/>
    <s v="Morning"/>
    <x v="29"/>
    <x v="5"/>
    <s v="Happy New Year"/>
    <x v="0"/>
    <s v="Hindi"/>
    <x v="52"/>
    <n v="3"/>
    <n v="3459.9"/>
    <s v="Desktop"/>
  </r>
  <r>
    <n v="54"/>
    <d v="2025-03-25T00:00:00"/>
    <x v="7"/>
    <s v="Tuesday"/>
    <n v="19"/>
    <s v="Evening"/>
    <x v="30"/>
    <x v="7"/>
    <s v="Shershaah"/>
    <x v="0"/>
    <s v="Hindi"/>
    <x v="53"/>
    <n v="4"/>
    <n v="3305.3"/>
    <s v="Web Player"/>
  </r>
  <r>
    <n v="55"/>
    <d v="2025-05-08T00:00:00"/>
    <x v="5"/>
    <s v="Thursday"/>
    <n v="18"/>
    <s v="Evening"/>
    <x v="22"/>
    <x v="12"/>
    <s v="13 Reasons Why"/>
    <x v="2"/>
    <s v="English"/>
    <x v="17"/>
    <n v="3"/>
    <n v="4446.8"/>
    <s v="Android"/>
  </r>
  <r>
    <n v="56"/>
    <d v="2025-08-29T00:00:00"/>
    <x v="3"/>
    <s v="Friday"/>
    <n v="17"/>
    <s v="Evening"/>
    <x v="2"/>
    <x v="0"/>
    <s v="Brahmastra"/>
    <x v="0"/>
    <s v="Hindi"/>
    <x v="54"/>
    <n v="3"/>
    <n v="4077.1"/>
    <s v="Desktop"/>
  </r>
  <r>
    <n v="57"/>
    <d v="2025-04-27T00:00:00"/>
    <x v="2"/>
    <s v="Sunday"/>
    <n v="16"/>
    <s v="Afternoon"/>
    <x v="18"/>
    <x v="11"/>
    <s v="Heeriye"/>
    <x v="0"/>
    <s v="Hindi"/>
    <x v="55"/>
    <n v="3"/>
    <n v="3128.1"/>
    <s v="Desktop"/>
  </r>
  <r>
    <n v="58"/>
    <d v="2025-02-05T00:00:00"/>
    <x v="0"/>
    <s v="Wednesday"/>
    <n v="23"/>
    <s v="Night"/>
    <x v="32"/>
    <x v="7"/>
    <s v="Humnava Mere"/>
    <x v="0"/>
    <s v="Hindi"/>
    <x v="56"/>
    <n v="4"/>
    <n v="5435.3"/>
    <s v="Desktop"/>
  </r>
  <r>
    <n v="59"/>
    <d v="2025-01-15T00:00:00"/>
    <x v="9"/>
    <s v="Wednesday"/>
    <n v="7"/>
    <s v="Morning"/>
    <x v="31"/>
    <x v="13"/>
    <s v="Gul"/>
    <x v="5"/>
    <s v="Hindi"/>
    <x v="57"/>
    <n v="4"/>
    <n v="2222.7"/>
    <s v="Web Player"/>
  </r>
  <r>
    <n v="60"/>
    <d v="2025-11-02T00:00:00"/>
    <x v="8"/>
    <s v="Sunday"/>
    <n v="19"/>
    <s v="Evening"/>
    <x v="33"/>
    <x v="0"/>
    <s v="Jawan"/>
    <x v="0"/>
    <s v="Hindi"/>
    <x v="58"/>
    <n v="4"/>
    <n v="8088.2"/>
    <s v="Web Player"/>
  </r>
  <r>
    <n v="61"/>
    <d v="2025-09-19T00:00:00"/>
    <x v="10"/>
    <s v="Friday"/>
    <n v="14"/>
    <s v="Afternoon"/>
    <x v="14"/>
    <x v="8"/>
    <s v="Hollywood's Bleeding"/>
    <x v="3"/>
    <s v="English"/>
    <x v="59"/>
    <n v="4"/>
    <n v="3137.9"/>
    <s v="iOS"/>
  </r>
  <r>
    <n v="62"/>
    <d v="2025-12-29T00:00:00"/>
    <x v="11"/>
    <s v="Monday"/>
    <n v="17"/>
    <s v="Evening"/>
    <x v="2"/>
    <x v="0"/>
    <s v="Brahmastra"/>
    <x v="0"/>
    <s v="Hindi"/>
    <x v="60"/>
    <n v="2"/>
    <n v="5078.3"/>
    <s v="iOS"/>
  </r>
  <r>
    <n v="63"/>
    <d v="2025-02-05T00:00:00"/>
    <x v="0"/>
    <s v="Wednesday"/>
    <n v="15"/>
    <s v="Afternoon"/>
    <x v="24"/>
    <x v="1"/>
    <s v="G.O.A.T."/>
    <x v="1"/>
    <s v="Punjabi"/>
    <x v="61"/>
    <n v="4"/>
    <n v="6076.5"/>
    <s v="Android"/>
  </r>
  <r>
    <n v="64"/>
    <d v="2025-06-08T00:00:00"/>
    <x v="6"/>
    <s v="Sunday"/>
    <n v="23"/>
    <s v="Night"/>
    <x v="34"/>
    <x v="10"/>
    <s v="Starboy"/>
    <x v="2"/>
    <s v="English"/>
    <x v="62"/>
    <n v="4"/>
    <n v="6815.2"/>
    <s v="Web Player"/>
  </r>
  <r>
    <n v="65"/>
    <d v="2025-04-09T00:00:00"/>
    <x v="2"/>
    <s v="Wednesday"/>
    <n v="15"/>
    <s v="Afternoon"/>
    <x v="35"/>
    <x v="0"/>
    <s v="Animal"/>
    <x v="0"/>
    <s v="Hindi"/>
    <x v="63"/>
    <n v="4"/>
    <n v="8010.9"/>
    <s v="iOS"/>
  </r>
  <r>
    <n v="66"/>
    <d v="2025-10-08T00:00:00"/>
    <x v="1"/>
    <s v="Wednesday"/>
    <n v="16"/>
    <s v="Afternoon"/>
    <x v="25"/>
    <x v="6"/>
    <s v="With You"/>
    <x v="1"/>
    <s v="Punjabi"/>
    <x v="64"/>
    <n v="4"/>
    <n v="837.7"/>
    <s v="Desktop"/>
  </r>
  <r>
    <n v="67"/>
    <d v="2025-08-15T00:00:00"/>
    <x v="3"/>
    <s v="Friday"/>
    <n v="8"/>
    <s v="Morning"/>
    <x v="6"/>
    <x v="3"/>
    <s v="Bad Newz"/>
    <x v="0"/>
    <s v="Punjabi"/>
    <x v="65"/>
    <n v="3"/>
    <n v="6709.1"/>
    <s v="iOS"/>
  </r>
  <r>
    <n v="68"/>
    <d v="2025-09-21T00:00:00"/>
    <x v="10"/>
    <s v="Sunday"/>
    <n v="15"/>
    <s v="Afternoon"/>
    <x v="36"/>
    <x v="14"/>
    <s v="Champagne Talk"/>
    <x v="0"/>
    <s v="Hindi"/>
    <x v="66"/>
    <n v="4"/>
    <n v="9166.1"/>
    <s v="iOS"/>
  </r>
  <r>
    <n v="69"/>
    <d v="2025-04-12T00:00:00"/>
    <x v="2"/>
    <s v="Saturday"/>
    <n v="8"/>
    <s v="Morning"/>
    <x v="8"/>
    <x v="5"/>
    <s v="Aashiqui 2"/>
    <x v="0"/>
    <s v="Hindi"/>
    <x v="67"/>
    <n v="3"/>
    <n v="1883.6"/>
    <s v="Desktop"/>
  </r>
  <r>
    <n v="70"/>
    <d v="2025-08-01T00:00:00"/>
    <x v="3"/>
    <s v="Friday"/>
    <n v="21"/>
    <s v="Night"/>
    <x v="6"/>
    <x v="3"/>
    <s v="Bad Newz"/>
    <x v="0"/>
    <s v="Punjabi"/>
    <x v="68"/>
    <n v="5"/>
    <n v="11698.8"/>
    <s v="Desktop"/>
  </r>
  <r>
    <n v="71"/>
    <d v="2025-05-05T00:00:00"/>
    <x v="5"/>
    <s v="Monday"/>
    <n v="19"/>
    <s v="Evening"/>
    <x v="25"/>
    <x v="6"/>
    <s v="With You"/>
    <x v="1"/>
    <s v="Punjabi"/>
    <x v="69"/>
    <n v="2"/>
    <n v="2385.1"/>
    <s v="Android"/>
  </r>
  <r>
    <n v="72"/>
    <d v="2025-04-01T00:00:00"/>
    <x v="2"/>
    <s v="Tuesday"/>
    <n v="9"/>
    <s v="Morning"/>
    <x v="8"/>
    <x v="5"/>
    <s v="Aashiqui 2"/>
    <x v="0"/>
    <s v="Hindi"/>
    <x v="70"/>
    <n v="4"/>
    <n v="8487.6"/>
    <s v="iOS"/>
  </r>
  <r>
    <n v="73"/>
    <d v="2025-03-10T00:00:00"/>
    <x v="7"/>
    <s v="Monday"/>
    <n v="20"/>
    <s v="Evening"/>
    <x v="6"/>
    <x v="3"/>
    <s v="Bad Newz"/>
    <x v="0"/>
    <s v="Punjabi"/>
    <x v="71"/>
    <n v="5"/>
    <n v="10866.3"/>
    <s v="Web Player"/>
  </r>
  <r>
    <n v="74"/>
    <d v="2025-09-16T00:00:00"/>
    <x v="10"/>
    <s v="Tuesday"/>
    <n v="21"/>
    <s v="Night"/>
    <x v="28"/>
    <x v="9"/>
    <s v="Justice"/>
    <x v="2"/>
    <s v="English"/>
    <x v="72"/>
    <n v="5"/>
    <n v="8764.200000000001"/>
    <s v="iOS"/>
  </r>
  <r>
    <n v="75"/>
    <d v="2025-05-13T00:00:00"/>
    <x v="5"/>
    <s v="Tuesday"/>
    <n v="13"/>
    <s v="Afternoon"/>
    <x v="37"/>
    <x v="3"/>
    <s v="Making Memories"/>
    <x v="1"/>
    <s v="Punjabi"/>
    <x v="73"/>
    <n v="4"/>
    <n v="4736.3"/>
    <s v="Desktop"/>
  </r>
  <r>
    <n v="76"/>
    <d v="2025-08-14T00:00:00"/>
    <x v="3"/>
    <s v="Thursday"/>
    <n v="16"/>
    <s v="Afternoon"/>
    <x v="32"/>
    <x v="7"/>
    <s v="Humnava Mere"/>
    <x v="0"/>
    <s v="Hindi"/>
    <x v="74"/>
    <n v="4"/>
    <n v="1830.3"/>
    <s v="Web Player"/>
  </r>
  <r>
    <n v="77"/>
    <d v="2025-02-11T00:00:00"/>
    <x v="0"/>
    <s v="Tuesday"/>
    <n v="12"/>
    <s v="Afternoon"/>
    <x v="10"/>
    <x v="4"/>
    <s v="Divide"/>
    <x v="2"/>
    <s v="English"/>
    <x v="14"/>
    <n v="3"/>
    <n v="2259.9"/>
    <s v="iOS"/>
  </r>
  <r>
    <n v="78"/>
    <d v="2025-08-01T00:00:00"/>
    <x v="3"/>
    <s v="Friday"/>
    <n v="7"/>
    <s v="Morning"/>
    <x v="27"/>
    <x v="0"/>
    <s v="Rocky Aur Rani Kii Prem Kahaani"/>
    <x v="0"/>
    <s v="Hindi"/>
    <x v="75"/>
    <n v="4"/>
    <n v="7132.9"/>
    <s v="Desktop"/>
  </r>
  <r>
    <n v="79"/>
    <d v="2025-08-04T00:00:00"/>
    <x v="3"/>
    <s v="Monday"/>
    <n v="18"/>
    <s v="Evening"/>
    <x v="29"/>
    <x v="5"/>
    <s v="Happy New Year"/>
    <x v="0"/>
    <s v="Hindi"/>
    <x v="76"/>
    <n v="5"/>
    <n v="9624"/>
    <s v="Android"/>
  </r>
  <r>
    <n v="80"/>
    <d v="2025-01-04T00:00:00"/>
    <x v="9"/>
    <s v="Saturday"/>
    <n v="23"/>
    <s v="Night"/>
    <x v="23"/>
    <x v="10"/>
    <s v="After Hours"/>
    <x v="4"/>
    <s v="English"/>
    <x v="77"/>
    <n v="4"/>
    <n v="6475.3"/>
    <s v="Desktop"/>
  </r>
  <r>
    <n v="81"/>
    <d v="2025-11-05T00:00:00"/>
    <x v="8"/>
    <s v="Wednesday"/>
    <n v="21"/>
    <s v="Night"/>
    <x v="10"/>
    <x v="4"/>
    <s v="Divide"/>
    <x v="2"/>
    <s v="English"/>
    <x v="78"/>
    <n v="4"/>
    <n v="4464.8"/>
    <s v="Desktop"/>
  </r>
  <r>
    <n v="82"/>
    <d v="2025-07-19T00:00:00"/>
    <x v="4"/>
    <s v="Saturday"/>
    <n v="10"/>
    <s v="Morning"/>
    <x v="1"/>
    <x v="0"/>
    <s v="Bhediya"/>
    <x v="0"/>
    <s v="Hindi"/>
    <x v="79"/>
    <n v="4"/>
    <n v="6842.9"/>
    <s v="Desktop"/>
  </r>
  <r>
    <n v="83"/>
    <d v="2025-10-01T00:00:00"/>
    <x v="1"/>
    <s v="Wednesday"/>
    <n v="8"/>
    <s v="Morning"/>
    <x v="28"/>
    <x v="9"/>
    <s v="Justice"/>
    <x v="2"/>
    <s v="English"/>
    <x v="80"/>
    <n v="4"/>
    <n v="1441.9"/>
    <s v="Android"/>
  </r>
  <r>
    <n v="84"/>
    <d v="2025-08-08T00:00:00"/>
    <x v="3"/>
    <s v="Friday"/>
    <n v="18"/>
    <s v="Evening"/>
    <x v="38"/>
    <x v="12"/>
    <s v="Barbie: The Album"/>
    <x v="2"/>
    <s v="English"/>
    <x v="81"/>
    <n v="4"/>
    <n v="3016.1"/>
    <s v="Web Player"/>
  </r>
  <r>
    <n v="85"/>
    <d v="2025-04-19T00:00:00"/>
    <x v="2"/>
    <s v="Saturday"/>
    <n v="14"/>
    <s v="Afternoon"/>
    <x v="39"/>
    <x v="13"/>
    <s v="Husn"/>
    <x v="5"/>
    <s v="Hindi"/>
    <x v="82"/>
    <n v="4"/>
    <n v="7335.7"/>
    <s v="Desktop"/>
  </r>
  <r>
    <n v="86"/>
    <d v="2025-05-10T00:00:00"/>
    <x v="5"/>
    <s v="Saturday"/>
    <n v="17"/>
    <s v="Evening"/>
    <x v="3"/>
    <x v="1"/>
    <s v="G.O.A.T."/>
    <x v="1"/>
    <s v="Punjabi"/>
    <x v="83"/>
    <n v="4"/>
    <n v="2085.4"/>
    <s v="Android"/>
  </r>
  <r>
    <n v="87"/>
    <d v="2025-11-29T00:00:00"/>
    <x v="8"/>
    <s v="Saturday"/>
    <n v="12"/>
    <s v="Afternoon"/>
    <x v="8"/>
    <x v="5"/>
    <s v="Aashiqui 2"/>
    <x v="0"/>
    <s v="Hindi"/>
    <x v="84"/>
    <n v="3"/>
    <n v="1499.9"/>
    <s v="iOS"/>
  </r>
  <r>
    <n v="88"/>
    <d v="2025-11-15T00:00:00"/>
    <x v="8"/>
    <s v="Saturday"/>
    <n v="12"/>
    <s v="Afternoon"/>
    <x v="1"/>
    <x v="0"/>
    <s v="Bhediya"/>
    <x v="0"/>
    <s v="Hindi"/>
    <x v="85"/>
    <n v="3"/>
    <n v="2588"/>
    <s v="Android"/>
  </r>
  <r>
    <n v="89"/>
    <d v="2025-12-25T00:00:00"/>
    <x v="11"/>
    <s v="Thursday"/>
    <n v="11"/>
    <s v="Morning"/>
    <x v="6"/>
    <x v="3"/>
    <s v="Bad Newz"/>
    <x v="0"/>
    <s v="Punjabi"/>
    <x v="86"/>
    <n v="4"/>
    <n v="4447.2"/>
    <s v="Android"/>
  </r>
  <r>
    <n v="90"/>
    <d v="2025-02-25T00:00:00"/>
    <x v="0"/>
    <s v="Tuesday"/>
    <n v="18"/>
    <s v="Evening"/>
    <x v="18"/>
    <x v="11"/>
    <s v="Heeriye"/>
    <x v="0"/>
    <s v="Hindi"/>
    <x v="87"/>
    <n v="3"/>
    <n v="7599.5"/>
    <s v="Desktop"/>
  </r>
  <r>
    <n v="91"/>
    <d v="2025-02-08T00:00:00"/>
    <x v="0"/>
    <s v="Saturday"/>
    <n v="9"/>
    <s v="Morning"/>
    <x v="40"/>
    <x v="5"/>
    <s v="Shor in the City"/>
    <x v="0"/>
    <s v="Hindi"/>
    <x v="88"/>
    <n v="3"/>
    <n v="7887.6"/>
    <s v="Web Player"/>
  </r>
  <r>
    <n v="92"/>
    <d v="2025-01-22T00:00:00"/>
    <x v="9"/>
    <s v="Wednesday"/>
    <n v="8"/>
    <s v="Morning"/>
    <x v="7"/>
    <x v="4"/>
    <s v="X"/>
    <x v="2"/>
    <s v="English"/>
    <x v="89"/>
    <n v="5"/>
    <n v="7205.2"/>
    <s v="Web Player"/>
  </r>
  <r>
    <n v="93"/>
    <d v="2025-11-28T00:00:00"/>
    <x v="8"/>
    <s v="Friday"/>
    <n v="9"/>
    <s v="Morning"/>
    <x v="34"/>
    <x v="10"/>
    <s v="Starboy"/>
    <x v="2"/>
    <s v="English"/>
    <x v="90"/>
    <n v="2"/>
    <n v="4597.3"/>
    <s v="Desktop"/>
  </r>
  <r>
    <n v="94"/>
    <d v="2025-07-05T00:00:00"/>
    <x v="4"/>
    <s v="Saturday"/>
    <n v="11"/>
    <s v="Morning"/>
    <x v="24"/>
    <x v="1"/>
    <s v="G.O.A.T."/>
    <x v="1"/>
    <s v="Punjabi"/>
    <x v="91"/>
    <n v="4"/>
    <n v="12550.3"/>
    <s v="Desktop"/>
  </r>
  <r>
    <n v="95"/>
    <d v="2025-11-30T00:00:00"/>
    <x v="8"/>
    <s v="Sunday"/>
    <n v="19"/>
    <s v="Evening"/>
    <x v="17"/>
    <x v="10"/>
    <s v="After Hours"/>
    <x v="2"/>
    <s v="English"/>
    <x v="92"/>
    <n v="5"/>
    <n v="6497"/>
    <s v="Desktop"/>
  </r>
  <r>
    <n v="96"/>
    <d v="2025-05-18T00:00:00"/>
    <x v="5"/>
    <s v="Sunday"/>
    <n v="14"/>
    <s v="Afternoon"/>
    <x v="21"/>
    <x v="8"/>
    <s v="Spider-Man: Into the Spider-Verse"/>
    <x v="3"/>
    <s v="English"/>
    <x v="93"/>
    <n v="3"/>
    <n v="5804.5"/>
    <s v="Android"/>
  </r>
  <r>
    <n v="97"/>
    <d v="2025-05-05T00:00:00"/>
    <x v="5"/>
    <s v="Monday"/>
    <n v="16"/>
    <s v="Afternoon"/>
    <x v="37"/>
    <x v="3"/>
    <s v="Making Memories"/>
    <x v="1"/>
    <s v="Punjabi"/>
    <x v="71"/>
    <n v="5"/>
    <n v="10089.7"/>
    <s v="Desktop"/>
  </r>
  <r>
    <n v="98"/>
    <d v="2025-09-11T00:00:00"/>
    <x v="10"/>
    <s v="Thursday"/>
    <n v="14"/>
    <s v="Afternoon"/>
    <x v="1"/>
    <x v="0"/>
    <s v="Bhediya"/>
    <x v="0"/>
    <s v="Hindi"/>
    <x v="94"/>
    <n v="3"/>
    <n v="4931"/>
    <s v="Web Player"/>
  </r>
  <r>
    <n v="99"/>
    <d v="2025-05-24T00:00:00"/>
    <x v="5"/>
    <s v="Saturday"/>
    <n v="8"/>
    <s v="Morning"/>
    <x v="31"/>
    <x v="13"/>
    <s v="Gul"/>
    <x v="5"/>
    <s v="Hindi"/>
    <x v="95"/>
    <n v="4"/>
    <n v="9499.4"/>
    <s v="iOS"/>
  </r>
  <r>
    <n v="100"/>
    <d v="2025-07-28T00:00:00"/>
    <x v="4"/>
    <s v="Monday"/>
    <n v="21"/>
    <s v="Night"/>
    <x v="30"/>
    <x v="7"/>
    <s v="Shershaah"/>
    <x v="0"/>
    <s v="Hindi"/>
    <x v="96"/>
    <n v="5"/>
    <n v="10907.1"/>
    <s v="Desktop"/>
  </r>
</pivotCacheRecords>
</file>

<file path=xl/pivotTables/_rels/pivotTable1.xml.rels><Relationships xmlns="http://schemas.openxmlformats.org/package/2006/relationships"><Relationship Type="http://schemas.openxmlformats.org/officeDocument/2006/relationships/pivotCacheDefinition" Target="/xl/pivotCache/pivotCacheDefinition1.xml" Id="rId1"/></Relationships>
</file>

<file path=xl/pivotTables/_rels/pivotTable2.xml.rels><Relationships xmlns="http://schemas.openxmlformats.org/package/2006/relationships"><Relationship Type="http://schemas.openxmlformats.org/officeDocument/2006/relationships/pivotCacheDefinition" Target="/xl/pivotCache/pivotCacheDefinition1.xml" Id="rId1"/></Relationships>
</file>

<file path=xl/pivotTables/_rels/pivotTable3.xml.rels><Relationships xmlns="http://schemas.openxmlformats.org/package/2006/relationships"><Relationship Type="http://schemas.openxmlformats.org/officeDocument/2006/relationships/pivotCacheDefinition" Target="/xl/pivotCache/pivotCacheDefinition1.xml" Id="rId1"/></Relationships>
</file>

<file path=xl/pivotTables/_rels/pivotTable4.xml.rels><Relationships xmlns="http://schemas.openxmlformats.org/package/2006/relationships"><Relationship Type="http://schemas.openxmlformats.org/officeDocument/2006/relationships/pivotCacheDefinition" Target="/xl/pivotCache/pivotCacheDefinition1.xml" Id="rId1"/></Relationships>
</file>

<file path=xl/pivotTables/pivotTable1.xml><?xml version="1.0" encoding="utf-8"?>
<pivotTableDefinition xmlns:r="http://schemas.openxmlformats.org/officeDocument/2006/relationships" xmlns="http://schemas.openxmlformats.org/spreadsheetml/2006/main" name="PivotTable2" cacheId="10" dataOnRows="0" dataCaption="Values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8" indent="0" showEmptyRow="0" showEmptyCol="0" showHeaders="1" compact="1" outline="1" outlineData="1" compactData="1" published="0" gridDropZones="0" immersive="1" multipleFieldFilters="0" chartFormat="3" fieldListSortAscending="0" mdxSubqueries="0" applyNumberFormats="0" applyBorderFormats="0" applyFontFormats="0" applyPatternFormats="0" applyAlignmentFormats="0" applyWidthHeightFormats="1" r:id="rId1">
  <location ref="D7:E18" firstHeaderRow="1" firstDataRow="1" firstDataCol="1"/>
  <pivotFields count="15">
    <pivotField showDropDowns="1" compact="1" outline="1" subtotalTop="1" dragToRow="1" dragToCol="1" dragToPage="1" dragToData="1" dragOff="1" showAll="0" topAutoShow="1" itemPageCount="10" sortType="manual" defaultSubtotal="1"/>
    <pivotField showDropDowns="1" compact="1" numFmtId="164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axis="axisRow" showDropDowns="1" compact="1" outline="1" subtotalTop="1" dragToRow="1" dragToCol="1" dragToPage="1" dragToData="1" dragOff="1" showAll="0" topAutoShow="1" measureFilter="1" itemPageCount="10" sortType="manual" defaultSubtotal="1">
      <items count="42">
        <item t="data" sd="1" x="23"/>
        <item t="data" sd="1" x="5"/>
        <item t="data" sd="1" x="1"/>
        <item t="data" sd="1" x="19"/>
        <item t="data" sd="1" x="3"/>
        <item t="data" sd="1" x="33"/>
        <item t="data" sd="1" x="14"/>
        <item t="data" sd="1" x="9"/>
        <item t="data" sd="1" x="31"/>
        <item t="data" sd="1" x="18"/>
        <item t="data" sd="1" x="32"/>
        <item t="data" sd="1" x="39"/>
        <item t="data" sd="1" x="2"/>
        <item t="data" sd="1" x="15"/>
        <item t="data" sd="1" x="16"/>
        <item t="data" sd="1" x="22"/>
        <item t="data" sd="1" x="24"/>
        <item t="data" sd="1" x="12"/>
        <item t="data" sd="1" x="36"/>
        <item t="data" sd="1" x="29"/>
        <item t="data" sd="1" x="4"/>
        <item t="data" sd="1" x="13"/>
        <item t="data" sd="1" x="20"/>
        <item t="data" sd="1" x="26"/>
        <item t="data" sd="1" x="7"/>
        <item t="data" sd="1" x="30"/>
        <item t="data" sd="1" x="40"/>
        <item t="data" sd="1" x="35"/>
        <item t="data" sd="1" x="17"/>
        <item t="data" sd="1" x="10"/>
        <item t="data" sd="1" x="37"/>
        <item t="data" sd="1" x="34"/>
        <item t="data" sd="1" x="28"/>
        <item t="data" sd="1" x="8"/>
        <item t="data" sd="1" x="21"/>
        <item t="data" sd="1" x="6"/>
        <item t="data" sd="1" x="0"/>
        <item t="data" sd="1" x="11"/>
        <item t="data" sd="1" x="27"/>
        <item t="data" sd="1" x="38"/>
        <item t="data" sd="1" x="25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>
      <items count="98">
        <item t="data" sd="1" x="64"/>
        <item t="data" sd="1" x="35"/>
        <item t="data" sd="1" x="80"/>
        <item t="data" sd="1" x="27"/>
        <item t="data" sd="1" x="11"/>
        <item t="data" sd="1" x="33"/>
        <item t="data" sd="1" x="21"/>
        <item t="data" sd="1" x="39"/>
        <item t="data" sd="1" x="84"/>
        <item t="data" sd="1" x="7"/>
        <item t="data" sd="1" x="42"/>
        <item t="data" sd="1" x="50"/>
        <item t="data" sd="1" x="74"/>
        <item t="data" sd="1" x="83"/>
        <item t="data" sd="1" x="5"/>
        <item t="data" sd="1" x="46"/>
        <item t="data" sd="1" x="31"/>
        <item t="data" sd="1" x="57"/>
        <item t="data" sd="1" x="59"/>
        <item t="data" sd="1" x="25"/>
        <item t="data" sd="1" x="6"/>
        <item t="data" sd="1" x="51"/>
        <item t="data" sd="1" x="81"/>
        <item t="data" sd="1" x="14"/>
        <item t="data" sd="1" x="67"/>
        <item t="data" sd="1" x="69"/>
        <item t="data" sd="1" x="85"/>
        <item t="data" sd="1" x="15"/>
        <item t="data" sd="1" x="49"/>
        <item t="data" sd="1" x="10"/>
        <item t="data" sd="1" x="53"/>
        <item t="data" sd="1" x="29"/>
        <item t="data" sd="1" x="9"/>
        <item t="data" sd="1" x="12"/>
        <item t="data" sd="1" x="28"/>
        <item t="data" sd="1" x="78"/>
        <item t="data" sd="1" x="54"/>
        <item t="data" sd="1" x="55"/>
        <item t="data" sd="1" x="26"/>
        <item t="data" sd="1" x="13"/>
        <item t="data" sd="1" x="73"/>
        <item t="data" sd="1" x="52"/>
        <item t="data" sd="1" x="86"/>
        <item t="data" sd="1" x="18"/>
        <item t="data" sd="1" x="17"/>
        <item t="data" sd="1" x="92"/>
        <item t="data" sd="1" x="32"/>
        <item t="data" sd="1" x="56"/>
        <item t="data" sd="1" x="44"/>
        <item t="data" sd="1" x="24"/>
        <item t="data" sd="1" x="41"/>
        <item t="data" sd="1" x="93"/>
        <item t="data" sd="1" x="94"/>
        <item t="data" sd="1" x="61"/>
        <item t="data" sd="1" x="79"/>
        <item t="data" sd="1" x="4"/>
        <item t="data" sd="1" x="90"/>
        <item t="data" sd="1" x="89"/>
        <item t="data" sd="1" x="77"/>
        <item t="data" sd="1" x="8"/>
        <item t="data" sd="1" x="76"/>
        <item t="data" sd="1" x="75"/>
        <item t="data" sd="1" x="62"/>
        <item t="data" sd="1" x="40"/>
        <item t="data" sd="1" x="63"/>
        <item t="data" sd="1" x="48"/>
        <item t="data" sd="1" x="72"/>
        <item t="data" sd="1" x="58"/>
        <item t="data" sd="1" x="60"/>
        <item t="data" sd="1" x="65"/>
        <item t="data" sd="1" x="3"/>
        <item t="data" sd="1" x="82"/>
        <item t="data" sd="1" x="2"/>
        <item t="data" sd="1" x="71"/>
        <item t="data" sd="1" x="30"/>
        <item t="data" sd="1" x="34"/>
        <item t="data" sd="1" x="96"/>
        <item t="data" sd="1" x="38"/>
        <item t="data" sd="1" x="43"/>
        <item t="data" sd="1" x="70"/>
        <item t="data" sd="1" x="23"/>
        <item t="data" sd="1" x="16"/>
        <item t="data" sd="1" x="22"/>
        <item t="data" sd="1" x="1"/>
        <item t="data" sd="1" x="37"/>
        <item t="data" sd="1" x="45"/>
        <item t="data" sd="1" x="36"/>
        <item t="data" sd="1" x="87"/>
        <item t="data" sd="1" x="88"/>
        <item t="data" sd="1" x="95"/>
        <item t="data" sd="1" x="20"/>
        <item t="data" sd="1" x="19"/>
        <item t="data" sd="1" x="0"/>
        <item t="data" sd="1" x="68"/>
        <item t="data" sd="1" x="66"/>
        <item t="data" sd="1" x="47"/>
        <item t="data" sd="1" x="91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</pivotFields>
  <rowFields count="1">
    <field x="6"/>
  </rowFields>
  <rowItems count="11">
    <i t="data" r="0" i="0">
      <x v="2"/>
    </i>
    <i t="data" r="0" i="0">
      <x v="8"/>
    </i>
    <i t="data" r="0" i="0">
      <x v="12"/>
    </i>
    <i t="data" r="0" i="0">
      <x v="16"/>
    </i>
    <i t="data" r="0" i="0">
      <x v="22"/>
    </i>
    <i t="data" r="0" i="0">
      <x v="29"/>
    </i>
    <i t="data" r="0" i="0">
      <x v="33"/>
    </i>
    <i t="data" r="0" i="0">
      <x v="34"/>
    </i>
    <i t="data" r="0" i="0">
      <x v="35"/>
    </i>
    <i t="data" r="0" i="0">
      <x v="36"/>
    </i>
    <i t="grand" r="0" i="0">
      <x v="0"/>
    </i>
  </rowItems>
  <colItems count="1">
    <i t="data" r="0" i="0"/>
  </colItems>
  <dataFields count="1">
    <dataField name="Sum of Plays" fld="11" subtotal="sum" showDataAs="normal" baseField="0" baseItem="0"/>
  </dataFields>
  <chartFormats count="1">
    <chartFormat chart="2" format="2" series="1">
      <pivotArea type="data" dataOnly="1" outline="0" fieldPosition="0">
        <references count="1">
          <reference field="4294967294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6" type="count" evalOrder="-1" id="1" iMeasureFld="0">
      <autoFilter ref="A1">
        <filterColumn colId="0" hiddenButton="0" showButton="1">
          <top10 val="10" filterVal="10"/>
        </filterColumn>
      </autoFilter>
    </filter>
  </filters>
</pivotTableDefinition>
</file>

<file path=xl/pivotTables/pivotTable2.xml><?xml version="1.0" encoding="utf-8"?>
<pivotTableDefinition xmlns:r="http://schemas.openxmlformats.org/officeDocument/2006/relationships" xmlns="http://schemas.openxmlformats.org/spreadsheetml/2006/main" name="PivotTable3" cacheId="10" dataOnRows="0" dataCaption="Values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8" indent="0" showEmptyRow="0" showEmptyCol="0" showHeaders="1" compact="1" outline="1" outlineData="1" compactData="1" published="0" gridDropZones="0" immersive="1" multipleFieldFilters="0" chartFormat="3" fieldListSortAscending="0" mdxSubqueries="0" applyNumberFormats="0" applyBorderFormats="0" applyFontFormats="0" applyPatternFormats="0" applyAlignmentFormats="0" applyWidthHeightFormats="1" r:id="rId1">
  <location ref="G26:H37" firstHeaderRow="1" firstDataRow="1" firstDataCol="1"/>
  <pivotFields count="15">
    <pivotField showDropDowns="1" compact="1" outline="1" subtotalTop="1" dragToRow="1" dragToCol="1" dragToPage="1" dragToData="1" dragOff="1" showAll="0" topAutoShow="1" itemPageCount="10" sortType="manual" defaultSubtotal="1"/>
    <pivotField showDropDowns="1" compact="1" numFmtId="164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axis="axisRow" showDropDowns="1" compact="1" outline="1" subtotalTop="1" dragToRow="1" dragToCol="1" dragToPage="1" dragToData="1" dragOff="1" showAll="0" topAutoShow="1" measureFilter="1" itemPageCount="10" sortType="manual" defaultSubtotal="1">
      <items count="16">
        <item t="data" sd="1" x="13"/>
        <item t="data" sd="1" x="6"/>
        <item t="data" sd="1" x="0"/>
        <item t="data" sd="1" x="12"/>
        <item t="data" sd="1" x="1"/>
        <item t="data" sd="1" x="2"/>
        <item t="data" sd="1" x="4"/>
        <item t="data" sd="1" x="11"/>
        <item t="data" sd="1" x="7"/>
        <item t="data" sd="1" x="9"/>
        <item t="data" sd="1" x="3"/>
        <item t="data" sd="1" x="14"/>
        <item t="data" sd="1" x="8"/>
        <item t="data" sd="1" x="5"/>
        <item t="data" sd="1" x="10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>
      <items count="98">
        <item t="data" sd="1" x="64"/>
        <item t="data" sd="1" x="35"/>
        <item t="data" sd="1" x="80"/>
        <item t="data" sd="1" x="27"/>
        <item t="data" sd="1" x="11"/>
        <item t="data" sd="1" x="33"/>
        <item t="data" sd="1" x="21"/>
        <item t="data" sd="1" x="39"/>
        <item t="data" sd="1" x="84"/>
        <item t="data" sd="1" x="7"/>
        <item t="data" sd="1" x="42"/>
        <item t="data" sd="1" x="50"/>
        <item t="data" sd="1" x="74"/>
        <item t="data" sd="1" x="83"/>
        <item t="data" sd="1" x="5"/>
        <item t="data" sd="1" x="46"/>
        <item t="data" sd="1" x="31"/>
        <item t="data" sd="1" x="57"/>
        <item t="data" sd="1" x="59"/>
        <item t="data" sd="1" x="25"/>
        <item t="data" sd="1" x="6"/>
        <item t="data" sd="1" x="51"/>
        <item t="data" sd="1" x="81"/>
        <item t="data" sd="1" x="14"/>
        <item t="data" sd="1" x="67"/>
        <item t="data" sd="1" x="69"/>
        <item t="data" sd="1" x="85"/>
        <item t="data" sd="1" x="15"/>
        <item t="data" sd="1" x="49"/>
        <item t="data" sd="1" x="10"/>
        <item t="data" sd="1" x="53"/>
        <item t="data" sd="1" x="29"/>
        <item t="data" sd="1" x="9"/>
        <item t="data" sd="1" x="12"/>
        <item t="data" sd="1" x="28"/>
        <item t="data" sd="1" x="78"/>
        <item t="data" sd="1" x="54"/>
        <item t="data" sd="1" x="55"/>
        <item t="data" sd="1" x="26"/>
        <item t="data" sd="1" x="13"/>
        <item t="data" sd="1" x="73"/>
        <item t="data" sd="1" x="52"/>
        <item t="data" sd="1" x="86"/>
        <item t="data" sd="1" x="18"/>
        <item t="data" sd="1" x="17"/>
        <item t="data" sd="1" x="92"/>
        <item t="data" sd="1" x="32"/>
        <item t="data" sd="1" x="56"/>
        <item t="data" sd="1" x="44"/>
        <item t="data" sd="1" x="24"/>
        <item t="data" sd="1" x="41"/>
        <item t="data" sd="1" x="93"/>
        <item t="data" sd="1" x="94"/>
        <item t="data" sd="1" x="61"/>
        <item t="data" sd="1" x="79"/>
        <item t="data" sd="1" x="4"/>
        <item t="data" sd="1" x="90"/>
        <item t="data" sd="1" x="89"/>
        <item t="data" sd="1" x="77"/>
        <item t="data" sd="1" x="8"/>
        <item t="data" sd="1" x="76"/>
        <item t="data" sd="1" x="75"/>
        <item t="data" sd="1" x="62"/>
        <item t="data" sd="1" x="40"/>
        <item t="data" sd="1" x="63"/>
        <item t="data" sd="1" x="48"/>
        <item t="data" sd="1" x="72"/>
        <item t="data" sd="1" x="58"/>
        <item t="data" sd="1" x="60"/>
        <item t="data" sd="1" x="65"/>
        <item t="data" sd="1" x="3"/>
        <item t="data" sd="1" x="82"/>
        <item t="data" sd="1" x="2"/>
        <item t="data" sd="1" x="71"/>
        <item t="data" sd="1" x="30"/>
        <item t="data" sd="1" x="34"/>
        <item t="data" sd="1" x="96"/>
        <item t="data" sd="1" x="38"/>
        <item t="data" sd="1" x="43"/>
        <item t="data" sd="1" x="70"/>
        <item t="data" sd="1" x="23"/>
        <item t="data" sd="1" x="16"/>
        <item t="data" sd="1" x="22"/>
        <item t="data" sd="1" x="1"/>
        <item t="data" sd="1" x="37"/>
        <item t="data" sd="1" x="45"/>
        <item t="data" sd="1" x="36"/>
        <item t="data" sd="1" x="87"/>
        <item t="data" sd="1" x="88"/>
        <item t="data" sd="1" x="95"/>
        <item t="data" sd="1" x="20"/>
        <item t="data" sd="1" x="19"/>
        <item t="data" sd="1" x="0"/>
        <item t="data" sd="1" x="68"/>
        <item t="data" sd="1" x="66"/>
        <item t="data" sd="1" x="47"/>
        <item t="data" sd="1" x="91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</pivotFields>
  <rowFields count="1">
    <field x="7"/>
  </rowFields>
  <rowItems count="11">
    <i t="data" r="0" i="0">
      <x v="0"/>
    </i>
    <i t="data" r="0" i="0">
      <x v="2"/>
    </i>
    <i t="data" r="0" i="0">
      <x v="4"/>
    </i>
    <i t="data" r="0" i="0">
      <x v="6"/>
    </i>
    <i t="data" r="0" i="0">
      <x v="8"/>
    </i>
    <i t="data" r="0" i="0">
      <x v="9"/>
    </i>
    <i t="data" r="0" i="0">
      <x v="10"/>
    </i>
    <i t="data" r="0" i="0">
      <x v="12"/>
    </i>
    <i t="data" r="0" i="0">
      <x v="13"/>
    </i>
    <i t="data" r="0" i="0">
      <x v="14"/>
    </i>
    <i t="grand" r="0" i="0">
      <x v="0"/>
    </i>
  </rowItems>
  <colItems count="1">
    <i t="data" r="0" i="0"/>
  </colItems>
  <dataFields count="1">
    <dataField name="Sum of Plays" fld="11" subtotal="sum" showDataAs="normal" baseField="0" baseItem="0"/>
  </dataFields>
  <chartFormats count="1">
    <chartFormat chart="2" format="2" series="1">
      <pivotArea type="data" dataOnly="1" outline="0" fieldPosition="0">
        <references count="1">
          <reference field="4294967294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7" type="count" evalOrder="-1" id="1" iMeasureFld="0">
      <autoFilter ref="A1">
        <filterColumn colId="0" hiddenButton="0" showButton="1">
          <top10 val="10" filterVal="10"/>
        </filterColumn>
      </autoFilter>
    </filter>
  </filters>
</pivotTableDefinition>
</file>

<file path=xl/pivotTables/pivotTable3.xml><?xml version="1.0" encoding="utf-8"?>
<pivotTableDefinition xmlns:r="http://schemas.openxmlformats.org/officeDocument/2006/relationships" xmlns="http://schemas.openxmlformats.org/spreadsheetml/2006/main" name="PivotTable4" cacheId="10" dataOnRows="0" dataCaption="Values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8" indent="0" showEmptyRow="0" showEmptyCol="0" showHeaders="1" compact="1" outline="1" outlineData="1" compactData="1" published="0" gridDropZones="0" immersive="1" multipleFieldFilters="0" chartFormat="3" fieldListSortAscending="0" mdxSubqueries="0" applyNumberFormats="0" applyBorderFormats="0" applyFontFormats="0" applyPatternFormats="0" applyAlignmentFormats="0" applyWidthHeightFormats="1" r:id="rId1">
  <location ref="K5:L12" firstHeaderRow="1" firstDataRow="1" firstDataCol="1"/>
  <pivotFields count="15">
    <pivotField showDropDowns="1" compact="1" outline="1" subtotalTop="1" dragToRow="1" dragToCol="1" dragToPage="1" dragToData="1" dragOff="1" showAll="0" topAutoShow="1" itemPageCount="10" sortType="manual" defaultSubtotal="1"/>
    <pivotField showDropDowns="1" compact="1" numFmtId="164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axis="axisRow" showDropDowns="1" compact="1" outline="1" subtotalTop="1" dragToRow="1" dragToCol="1" dragToPage="1" dragToData="1" dragOff="1" showAll="0" topAutoShow="1" itemPageCount="10" sortType="manual" defaultSubtotal="1">
      <items count="7">
        <item t="data" sd="1" x="0"/>
        <item t="data" sd="1" x="3"/>
        <item t="data" sd="1" x="5"/>
        <item t="data" sd="1" x="2"/>
        <item t="data" sd="1" x="1"/>
        <item t="data" sd="1" x="4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>
      <items count="98">
        <item t="data" sd="1" x="64"/>
        <item t="data" sd="1" x="35"/>
        <item t="data" sd="1" x="80"/>
        <item t="data" sd="1" x="27"/>
        <item t="data" sd="1" x="11"/>
        <item t="data" sd="1" x="33"/>
        <item t="data" sd="1" x="21"/>
        <item t="data" sd="1" x="39"/>
        <item t="data" sd="1" x="84"/>
        <item t="data" sd="1" x="7"/>
        <item t="data" sd="1" x="42"/>
        <item t="data" sd="1" x="50"/>
        <item t="data" sd="1" x="74"/>
        <item t="data" sd="1" x="83"/>
        <item t="data" sd="1" x="5"/>
        <item t="data" sd="1" x="46"/>
        <item t="data" sd="1" x="31"/>
        <item t="data" sd="1" x="57"/>
        <item t="data" sd="1" x="59"/>
        <item t="data" sd="1" x="25"/>
        <item t="data" sd="1" x="6"/>
        <item t="data" sd="1" x="51"/>
        <item t="data" sd="1" x="81"/>
        <item t="data" sd="1" x="14"/>
        <item t="data" sd="1" x="67"/>
        <item t="data" sd="1" x="69"/>
        <item t="data" sd="1" x="85"/>
        <item t="data" sd="1" x="15"/>
        <item t="data" sd="1" x="49"/>
        <item t="data" sd="1" x="10"/>
        <item t="data" sd="1" x="53"/>
        <item t="data" sd="1" x="29"/>
        <item t="data" sd="1" x="9"/>
        <item t="data" sd="1" x="12"/>
        <item t="data" sd="1" x="28"/>
        <item t="data" sd="1" x="78"/>
        <item t="data" sd="1" x="54"/>
        <item t="data" sd="1" x="55"/>
        <item t="data" sd="1" x="26"/>
        <item t="data" sd="1" x="13"/>
        <item t="data" sd="1" x="73"/>
        <item t="data" sd="1" x="52"/>
        <item t="data" sd="1" x="86"/>
        <item t="data" sd="1" x="18"/>
        <item t="data" sd="1" x="17"/>
        <item t="data" sd="1" x="92"/>
        <item t="data" sd="1" x="32"/>
        <item t="data" sd="1" x="56"/>
        <item t="data" sd="1" x="44"/>
        <item t="data" sd="1" x="24"/>
        <item t="data" sd="1" x="41"/>
        <item t="data" sd="1" x="93"/>
        <item t="data" sd="1" x="94"/>
        <item t="data" sd="1" x="61"/>
        <item t="data" sd="1" x="79"/>
        <item t="data" sd="1" x="4"/>
        <item t="data" sd="1" x="90"/>
        <item t="data" sd="1" x="89"/>
        <item t="data" sd="1" x="77"/>
        <item t="data" sd="1" x="8"/>
        <item t="data" sd="1" x="76"/>
        <item t="data" sd="1" x="75"/>
        <item t="data" sd="1" x="62"/>
        <item t="data" sd="1" x="40"/>
        <item t="data" sd="1" x="63"/>
        <item t="data" sd="1" x="48"/>
        <item t="data" sd="1" x="72"/>
        <item t="data" sd="1" x="58"/>
        <item t="data" sd="1" x="60"/>
        <item t="data" sd="1" x="65"/>
        <item t="data" sd="1" x="3"/>
        <item t="data" sd="1" x="82"/>
        <item t="data" sd="1" x="2"/>
        <item t="data" sd="1" x="71"/>
        <item t="data" sd="1" x="30"/>
        <item t="data" sd="1" x="34"/>
        <item t="data" sd="1" x="96"/>
        <item t="data" sd="1" x="38"/>
        <item t="data" sd="1" x="43"/>
        <item t="data" sd="1" x="70"/>
        <item t="data" sd="1" x="23"/>
        <item t="data" sd="1" x="16"/>
        <item t="data" sd="1" x="22"/>
        <item t="data" sd="1" x="1"/>
        <item t="data" sd="1" x="37"/>
        <item t="data" sd="1" x="45"/>
        <item t="data" sd="1" x="36"/>
        <item t="data" sd="1" x="87"/>
        <item t="data" sd="1" x="88"/>
        <item t="data" sd="1" x="95"/>
        <item t="data" sd="1" x="20"/>
        <item t="data" sd="1" x="19"/>
        <item t="data" sd="1" x="0"/>
        <item t="data" sd="1" x="68"/>
        <item t="data" sd="1" x="66"/>
        <item t="data" sd="1" x="47"/>
        <item t="data" sd="1" x="91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</pivotFields>
  <rowFields count="1">
    <field x="9"/>
  </rowFields>
  <rowItems count="7">
    <i t="data" r="0" i="0">
      <x v="0"/>
    </i>
    <i t="data" r="0" i="0">
      <x v="1"/>
    </i>
    <i t="data" r="0" i="0">
      <x v="2"/>
    </i>
    <i t="data" r="0" i="0">
      <x v="3"/>
    </i>
    <i t="data" r="0" i="0">
      <x v="4"/>
    </i>
    <i t="data" r="0" i="0">
      <x v="5"/>
    </i>
    <i t="grand" r="0" i="0">
      <x v="0"/>
    </i>
  </rowItems>
  <colItems count="1">
    <i t="data" r="0" i="0"/>
  </colItems>
  <dataFields count="1">
    <dataField name="Sum of Listening Minutes" fld="13" subtotal="sum" showDataAs="normal" baseField="0" baseItem="0"/>
  </dataFields>
  <chartFormats count="14">
    <chartFormat chart="0" format="0" series="1">
      <pivotArea type="data" dataOnly="1" outline="0" fieldPosition="0">
        <references count="1">
          <reference field="4294967294" selected="0">
            <x v="0"/>
          </reference>
        </references>
      </pivotArea>
    </chartFormat>
    <chartFormat chart="0" format="1" series="0">
      <pivotArea type="data" dataOnly="1" outline="0" fieldPosition="0">
        <references count="2">
          <reference field="4294967294" selected="0">
            <x v="0"/>
          </reference>
          <reference field="9" selected="0">
            <x v="0"/>
          </reference>
        </references>
      </pivotArea>
    </chartFormat>
    <chartFormat chart="0" format="2" series="0">
      <pivotArea type="data" dataOnly="1" outline="0" fieldPosition="0">
        <references count="2">
          <reference field="4294967294" selected="0">
            <x v="0"/>
          </reference>
          <reference field="9" selected="0">
            <x v="4"/>
          </reference>
        </references>
      </pivotArea>
    </chartFormat>
    <chartFormat chart="0" format="3" series="0">
      <pivotArea type="data" dataOnly="1" outline="0" fieldPosition="0">
        <references count="2">
          <reference field="4294967294" selected="0">
            <x v="0"/>
          </reference>
          <reference field="9" selected="0">
            <x v="3"/>
          </reference>
        </references>
      </pivotArea>
    </chartFormat>
    <chartFormat chart="0" format="4" series="0">
      <pivotArea type="data" dataOnly="1" outline="0" fieldPosition="0">
        <references count="2">
          <reference field="4294967294" selected="0">
            <x v="0"/>
          </reference>
          <reference field="9" selected="0">
            <x v="5"/>
          </reference>
        </references>
      </pivotArea>
    </chartFormat>
    <chartFormat chart="0" format="5" series="0">
      <pivotArea type="data" dataOnly="1" outline="0" fieldPosition="0">
        <references count="2">
          <reference field="4294967294" selected="0">
            <x v="0"/>
          </reference>
          <reference field="9" selected="0">
            <x v="1"/>
          </reference>
        </references>
      </pivotArea>
    </chartFormat>
    <chartFormat chart="0" format="6" series="0">
      <pivotArea type="data" dataOnly="1" outline="0" fieldPosition="0">
        <references count="2">
          <reference field="4294967294" selected="0">
            <x v="0"/>
          </reference>
          <reference field="9" selected="0">
            <x v="2"/>
          </reference>
        </references>
      </pivotArea>
    </chartFormat>
    <chartFormat chart="2" format="14" series="1">
      <pivotArea type="data" dataOnly="1" outline="0" fieldPosition="0">
        <references count="1">
          <reference field="4294967294" selected="0">
            <x v="0"/>
          </reference>
        </references>
      </pivotArea>
    </chartFormat>
    <chartFormat chart="2" format="15" series="0">
      <pivotArea type="data" dataOnly="1" outline="0" fieldPosition="0">
        <references count="2">
          <reference field="4294967294" selected="0">
            <x v="0"/>
          </reference>
          <reference field="9" selected="0">
            <x v="0"/>
          </reference>
        </references>
      </pivotArea>
    </chartFormat>
    <chartFormat chart="2" format="16" series="0">
      <pivotArea type="data" dataOnly="1" outline="0" fieldPosition="0">
        <references count="2">
          <reference field="4294967294" selected="0">
            <x v="0"/>
          </reference>
          <reference field="9" selected="0">
            <x v="1"/>
          </reference>
        </references>
      </pivotArea>
    </chartFormat>
    <chartFormat chart="2" format="17" series="0">
      <pivotArea type="data" dataOnly="1" outline="0" fieldPosition="0">
        <references count="2">
          <reference field="4294967294" selected="0">
            <x v="0"/>
          </reference>
          <reference field="9" selected="0">
            <x v="2"/>
          </reference>
        </references>
      </pivotArea>
    </chartFormat>
    <chartFormat chart="2" format="18" series="0">
      <pivotArea type="data" dataOnly="1" outline="0" fieldPosition="0">
        <references count="2">
          <reference field="4294967294" selected="0">
            <x v="0"/>
          </reference>
          <reference field="9" selected="0">
            <x v="3"/>
          </reference>
        </references>
      </pivotArea>
    </chartFormat>
    <chartFormat chart="2" format="19" series="0">
      <pivotArea type="data" dataOnly="1" outline="0" fieldPosition="0">
        <references count="2">
          <reference field="4294967294" selected="0">
            <x v="0"/>
          </reference>
          <reference field="9" selected="0">
            <x v="4"/>
          </reference>
        </references>
      </pivotArea>
    </chartFormat>
    <chartFormat chart="2" format="20" series="0">
      <pivotArea type="data" dataOnly="1" outline="0" fieldPosition="0">
        <references count="2">
          <reference field="4294967294" selected="0">
            <x v="0"/>
          </reference>
          <reference field="9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pivotTables/pivotTable4.xml><?xml version="1.0" encoding="utf-8"?>
<pivotTableDefinition xmlns:r="http://schemas.openxmlformats.org/officeDocument/2006/relationships" xmlns="http://schemas.openxmlformats.org/spreadsheetml/2006/main" name="PivotTable1" cacheId="10" dataOnRows="0" dataCaption="Values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8" indent="0" showEmptyRow="0" showEmptyCol="0" showHeaders="1" compact="1" outline="1" outlineData="1" compactData="1" published="0" gridDropZones="0" immersive="1" multipleFieldFilters="0" chartFormat="6" fieldListSortAscending="0" mdxSubqueries="0" applyNumberFormats="0" applyBorderFormats="0" applyFontFormats="0" applyPatternFormats="0" applyAlignmentFormats="0" applyWidthHeightFormats="1" r:id="rId1">
  <location ref="A2:B15" firstHeaderRow="1" firstDataRow="1" firstDataCol="1"/>
  <pivotFields count="15">
    <pivotField showDropDowns="1" compact="1" outline="1" subtotalTop="1" dragToRow="1" dragToCol="1" dragToPage="1" dragToData="1" dragOff="1" showAll="0" topAutoShow="1" itemPageCount="10" sortType="manual" defaultSubtotal="1"/>
    <pivotField showDropDowns="1" compact="1" numFmtId="164" outline="1" subtotalTop="1" dragToRow="1" dragToCol="1" dragToPage="1" dragToData="1" dragOff="1" showAll="0" topAutoShow="1" itemPageCount="10" sortType="manual" defaultSubtotal="1"/>
    <pivotField axis="axisRow" showDropDowns="1" compact="1" outline="1" subtotalTop="1" dragToRow="1" dragToCol="1" dragToPage="1" dragToData="1" dragOff="1" showAll="0" topAutoShow="1" itemPageCount="10" sortType="manual" defaultSubtotal="1">
      <items count="13">
        <item t="data" sd="1" x="9"/>
        <item t="data" sd="1" x="0"/>
        <item t="data" sd="1" x="7"/>
        <item t="data" sd="1" x="2"/>
        <item t="data" sd="1" x="5"/>
        <item t="data" sd="1" x="6"/>
        <item t="data" sd="1" x="4"/>
        <item t="data" sd="1" x="3"/>
        <item t="data" sd="1" x="10"/>
        <item t="data" sd="1" x="1"/>
        <item t="data" sd="1" x="8"/>
        <item t="data" sd="1" x="11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>
      <items count="98">
        <item t="data" sd="1" x="64"/>
        <item t="data" sd="1" x="35"/>
        <item t="data" sd="1" x="80"/>
        <item t="data" sd="1" x="27"/>
        <item t="data" sd="1" x="11"/>
        <item t="data" sd="1" x="33"/>
        <item t="data" sd="1" x="21"/>
        <item t="data" sd="1" x="39"/>
        <item t="data" sd="1" x="84"/>
        <item t="data" sd="1" x="7"/>
        <item t="data" sd="1" x="42"/>
        <item t="data" sd="1" x="50"/>
        <item t="data" sd="1" x="74"/>
        <item t="data" sd="1" x="83"/>
        <item t="data" sd="1" x="5"/>
        <item t="data" sd="1" x="46"/>
        <item t="data" sd="1" x="31"/>
        <item t="data" sd="1" x="57"/>
        <item t="data" sd="1" x="59"/>
        <item t="data" sd="1" x="25"/>
        <item t="data" sd="1" x="6"/>
        <item t="data" sd="1" x="51"/>
        <item t="data" sd="1" x="81"/>
        <item t="data" sd="1" x="14"/>
        <item t="data" sd="1" x="67"/>
        <item t="data" sd="1" x="69"/>
        <item t="data" sd="1" x="85"/>
        <item t="data" sd="1" x="15"/>
        <item t="data" sd="1" x="49"/>
        <item t="data" sd="1" x="10"/>
        <item t="data" sd="1" x="53"/>
        <item t="data" sd="1" x="29"/>
        <item t="data" sd="1" x="9"/>
        <item t="data" sd="1" x="12"/>
        <item t="data" sd="1" x="28"/>
        <item t="data" sd="1" x="78"/>
        <item t="data" sd="1" x="54"/>
        <item t="data" sd="1" x="55"/>
        <item t="data" sd="1" x="26"/>
        <item t="data" sd="1" x="13"/>
        <item t="data" sd="1" x="73"/>
        <item t="data" sd="1" x="52"/>
        <item t="data" sd="1" x="86"/>
        <item t="data" sd="1" x="18"/>
        <item t="data" sd="1" x="17"/>
        <item t="data" sd="1" x="92"/>
        <item t="data" sd="1" x="32"/>
        <item t="data" sd="1" x="56"/>
        <item t="data" sd="1" x="44"/>
        <item t="data" sd="1" x="24"/>
        <item t="data" sd="1" x="41"/>
        <item t="data" sd="1" x="93"/>
        <item t="data" sd="1" x="94"/>
        <item t="data" sd="1" x="61"/>
        <item t="data" sd="1" x="79"/>
        <item t="data" sd="1" x="4"/>
        <item t="data" sd="1" x="90"/>
        <item t="data" sd="1" x="89"/>
        <item t="data" sd="1" x="77"/>
        <item t="data" sd="1" x="8"/>
        <item t="data" sd="1" x="76"/>
        <item t="data" sd="1" x="75"/>
        <item t="data" sd="1" x="62"/>
        <item t="data" sd="1" x="40"/>
        <item t="data" sd="1" x="63"/>
        <item t="data" sd="1" x="48"/>
        <item t="data" sd="1" x="72"/>
        <item t="data" sd="1" x="58"/>
        <item t="data" sd="1" x="60"/>
        <item t="data" sd="1" x="65"/>
        <item t="data" sd="1" x="3"/>
        <item t="data" sd="1" x="82"/>
        <item t="data" sd="1" x="2"/>
        <item t="data" sd="1" x="71"/>
        <item t="data" sd="1" x="30"/>
        <item t="data" sd="1" x="34"/>
        <item t="data" sd="1" x="96"/>
        <item t="data" sd="1" x="38"/>
        <item t="data" sd="1" x="43"/>
        <item t="data" sd="1" x="70"/>
        <item t="data" sd="1" x="23"/>
        <item t="data" sd="1" x="16"/>
        <item t="data" sd="1" x="22"/>
        <item t="data" sd="1" x="1"/>
        <item t="data" sd="1" x="37"/>
        <item t="data" sd="1" x="45"/>
        <item t="data" sd="1" x="36"/>
        <item t="data" sd="1" x="87"/>
        <item t="data" sd="1" x="88"/>
        <item t="data" sd="1" x="95"/>
        <item t="data" sd="1" x="20"/>
        <item t="data" sd="1" x="19"/>
        <item t="data" sd="1" x="0"/>
        <item t="data" sd="1" x="68"/>
        <item t="data" sd="1" x="66"/>
        <item t="data" sd="1" x="47"/>
        <item t="data" sd="1" x="91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</pivotFields>
  <rowFields count="1">
    <field x="2"/>
  </rowFields>
  <rowItems count="13">
    <i t="data" r="0" i="0">
      <x v="0"/>
    </i>
    <i t="data" r="0" i="0">
      <x v="1"/>
    </i>
    <i t="data" r="0" i="0">
      <x v="2"/>
    </i>
    <i t="data" r="0" i="0">
      <x v="3"/>
    </i>
    <i t="data" r="0" i="0">
      <x v="4"/>
    </i>
    <i t="data" r="0" i="0">
      <x v="5"/>
    </i>
    <i t="data" r="0" i="0">
      <x v="6"/>
    </i>
    <i t="data" r="0" i="0">
      <x v="7"/>
    </i>
    <i t="data" r="0" i="0">
      <x v="8"/>
    </i>
    <i t="data" r="0" i="0">
      <x v="9"/>
    </i>
    <i t="data" r="0" i="0">
      <x v="10"/>
    </i>
    <i t="data" r="0" i="0">
      <x v="11"/>
    </i>
    <i t="grand" r="0" i="0">
      <x v="0"/>
    </i>
  </rowItems>
  <colItems count="1">
    <i t="data" r="0" i="0"/>
  </colItems>
  <dataFields count="1">
    <dataField name="Sum of Listening Minutes" fld="13" subtotal="sum" showDataAs="normal" baseField="0" baseItem="0"/>
  </dataFields>
  <chartFormats count="1">
    <chartFormat chart="5" format="2" series="1">
      <pivotArea type="data" dataOnly="1" outline="0" fieldPosition="0">
        <references count="1">
          <reference field="4294967294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tables/table1.xml><?xml version="1.0" encoding="utf-8"?>
<table xmlns="http://schemas.openxmlformats.org/spreadsheetml/2006/main" id="1" name="Table1" displayName="Table1" ref="A1:O101" headerRowCount="1" totalsRowShown="0" headerRowDxfId="0" headerRowBorderDxfId="2" tableBorderDxfId="3">
  <autoFilter ref="A1:O101"/>
  <tableColumns count="15">
    <tableColumn id="1" name="Track ID"/>
    <tableColumn id="2" name="Date" dataDxfId="1"/>
    <tableColumn id="3" name="Month"/>
    <tableColumn id="4" name="Day"/>
    <tableColumn id="5" name="Hour"/>
    <tableColumn id="6" name="Time Period"/>
    <tableColumn id="7" name="Song Name"/>
    <tableColumn id="8" name="Artist"/>
    <tableColumn id="9" name="Album"/>
    <tableColumn id="10" name="Genre"/>
    <tableColumn id="11" name="Language"/>
    <tableColumn id="12" name="Plays"/>
    <tableColumn id="13" name="Duration (min)"/>
    <tableColumn id="14" name="Listening Minutes"/>
    <tableColumn id="15" name="Platform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pivotTable" Target="/xl/pivotTables/pivotTable1.xml" Id="rId1"/><Relationship Type="http://schemas.openxmlformats.org/officeDocument/2006/relationships/pivotTable" Target="/xl/pivotTables/pivotTable2.xml" Id="rId2"/><Relationship Type="http://schemas.openxmlformats.org/officeDocument/2006/relationships/pivotTable" Target="/xl/pivotTables/pivotTable3.xml" Id="rId3"/><Relationship Type="http://schemas.openxmlformats.org/officeDocument/2006/relationships/pivotTable" Target="/xl/pivotTables/pivotTable4.xml" Id="rId4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1DB954"/>
    <outlinePr summaryBelow="1" summaryRight="1"/>
    <pageSetUpPr/>
  </sheetPr>
  <dimension ref="A1:R101"/>
  <sheetViews>
    <sheetView showGridLines="0" topLeftCell="F1" workbookViewId="0">
      <pane ySplit="1" topLeftCell="A2" activePane="bottomLeft" state="frozen"/>
      <selection pane="bottomLeft" activeCell="R23" sqref="R23"/>
    </sheetView>
  </sheetViews>
  <sheetFormatPr baseColWidth="8" defaultRowHeight="14.4"/>
  <cols>
    <col width="12" customWidth="1" style="17" min="1" max="1"/>
    <col width="22" customWidth="1" style="17" min="2" max="2"/>
    <col width="12" customWidth="1" style="17" min="3" max="4"/>
    <col width="12" customWidth="1" style="17" min="4" max="4"/>
    <col width="12" customWidth="1" style="17" min="5" max="5"/>
    <col width="14" customWidth="1" style="17" min="6" max="6"/>
    <col width="28" customWidth="1" style="17" min="7" max="7"/>
    <col width="17" customWidth="1" style="17" min="8" max="8"/>
    <col width="28" customWidth="1" style="17" min="9" max="9"/>
    <col width="12" customWidth="1" style="17" min="10" max="11"/>
    <col width="12" customWidth="1" style="17" min="11" max="11"/>
    <col width="12" customWidth="1" style="17" min="12" max="12"/>
    <col width="17" customWidth="1" style="17" min="13" max="13"/>
    <col width="20" customWidth="1" style="17" min="14" max="14"/>
    <col width="13" customWidth="1" style="17" min="15" max="15"/>
    <col width="12" customWidth="1" style="17" min="16" max="16"/>
    <col width="19" customWidth="1" style="17" min="17" max="17"/>
    <col width="28" customWidth="1" style="17" min="18" max="18"/>
  </cols>
  <sheetData>
    <row r="1">
      <c r="A1" s="29" t="inlineStr">
        <is>
          <t>Track ID</t>
        </is>
      </c>
      <c r="B1" s="29" t="inlineStr">
        <is>
          <t>Date</t>
        </is>
      </c>
      <c r="C1" s="29" t="inlineStr">
        <is>
          <t>Month</t>
        </is>
      </c>
      <c r="D1" s="29" t="inlineStr">
        <is>
          <t>Day</t>
        </is>
      </c>
      <c r="E1" s="29" t="inlineStr">
        <is>
          <t>Hour</t>
        </is>
      </c>
      <c r="F1" s="29" t="inlineStr">
        <is>
          <t>Time Period</t>
        </is>
      </c>
      <c r="G1" s="29" t="inlineStr">
        <is>
          <t>Song Name</t>
        </is>
      </c>
      <c r="H1" s="29" t="inlineStr">
        <is>
          <t>Artist</t>
        </is>
      </c>
      <c r="I1" s="29" t="inlineStr">
        <is>
          <t>Album</t>
        </is>
      </c>
      <c r="J1" s="29" t="inlineStr">
        <is>
          <t>Genre</t>
        </is>
      </c>
      <c r="K1" s="29" t="inlineStr">
        <is>
          <t>Language</t>
        </is>
      </c>
      <c r="L1" s="29" t="inlineStr">
        <is>
          <t>Plays</t>
        </is>
      </c>
      <c r="M1" s="29" t="inlineStr">
        <is>
          <t>Duration (min)</t>
        </is>
      </c>
      <c r="N1" s="29" t="inlineStr">
        <is>
          <t>Listening Minutes</t>
        </is>
      </c>
      <c r="O1" s="29" t="inlineStr">
        <is>
          <t>Platform</t>
        </is>
      </c>
    </row>
    <row r="2">
      <c r="A2" s="30" t="n">
        <v>1</v>
      </c>
      <c r="B2" s="31" t="n">
        <v>45715</v>
      </c>
      <c r="C2" s="30" t="inlineStr">
        <is>
          <t>February</t>
        </is>
      </c>
      <c r="D2" s="30" t="inlineStr">
        <is>
          <t>Thursday</t>
        </is>
      </c>
      <c r="E2" s="30" t="n">
        <v>9</v>
      </c>
      <c r="F2" s="30" t="inlineStr">
        <is>
          <t>Morning</t>
        </is>
      </c>
      <c r="G2" s="30" t="inlineStr">
        <is>
          <t>Teri Baaton Mein Aisa Uljha Jiya</t>
        </is>
      </c>
      <c r="H2" s="30" t="inlineStr">
        <is>
          <t>Arijit Singh</t>
        </is>
      </c>
      <c r="I2" s="30" t="inlineStr">
        <is>
          <t>Teri Baaton Mein Aisa Uljha Jiya</t>
        </is>
      </c>
      <c r="J2" s="30" t="inlineStr">
        <is>
          <t>Bollywood</t>
        </is>
      </c>
      <c r="K2" s="30" t="inlineStr">
        <is>
          <t>Hindi</t>
        </is>
      </c>
      <c r="L2" s="30" t="n">
        <v>2812</v>
      </c>
      <c r="M2" s="30" t="n">
        <v>4</v>
      </c>
      <c r="N2" s="30" t="n">
        <v>1126.4</v>
      </c>
      <c r="O2" s="30" t="inlineStr">
        <is>
          <t>iOS</t>
        </is>
      </c>
    </row>
    <row r="3">
      <c r="A3" s="32" t="n">
        <v>2</v>
      </c>
      <c r="B3" s="33" t="n">
        <v>45937</v>
      </c>
      <c r="C3" s="34" t="inlineStr">
        <is>
          <t>October</t>
        </is>
      </c>
      <c r="D3" s="34" t="inlineStr">
        <is>
          <t>Tuesday</t>
        </is>
      </c>
      <c r="E3" s="34" t="n">
        <v>8</v>
      </c>
      <c r="F3" s="34" t="inlineStr">
        <is>
          <t>Morning</t>
        </is>
      </c>
      <c r="G3" s="34" t="inlineStr">
        <is>
          <t>Apna Bana Le</t>
        </is>
      </c>
      <c r="H3" s="34" t="inlineStr">
        <is>
          <t>Arijit Singh</t>
        </is>
      </c>
      <c r="I3" s="34" t="inlineStr">
        <is>
          <t>Bhediya</t>
        </is>
      </c>
      <c r="J3" s="34" t="inlineStr">
        <is>
          <t>Bollywood</t>
        </is>
      </c>
      <c r="K3" s="34" t="inlineStr">
        <is>
          <t>Hindi</t>
        </is>
      </c>
      <c r="L3" s="34" t="n">
        <v>2436</v>
      </c>
      <c r="M3" s="34" t="n">
        <v>5</v>
      </c>
      <c r="N3" s="34" t="n">
        <v>2731.9</v>
      </c>
      <c r="O3" s="34" t="inlineStr">
        <is>
          <t>Android</t>
        </is>
      </c>
    </row>
    <row r="4">
      <c r="A4" s="35" t="n">
        <v>3</v>
      </c>
      <c r="B4" s="36" t="n">
        <v>45777</v>
      </c>
      <c r="C4" s="37" t="inlineStr">
        <is>
          <t>April</t>
        </is>
      </c>
      <c r="D4" s="37" t="inlineStr">
        <is>
          <t>Wednesday</t>
        </is>
      </c>
      <c r="E4" s="37" t="n">
        <v>23</v>
      </c>
      <c r="F4" s="37" t="inlineStr">
        <is>
          <t>Night</t>
        </is>
      </c>
      <c r="G4" s="37" t="inlineStr">
        <is>
          <t>Kesariya</t>
        </is>
      </c>
      <c r="H4" s="37" t="inlineStr">
        <is>
          <t>Arijit Singh</t>
        </is>
      </c>
      <c r="I4" s="37" t="inlineStr">
        <is>
          <t>Brahmastra</t>
        </is>
      </c>
      <c r="J4" s="37" t="inlineStr">
        <is>
          <t>Bollywood</t>
        </is>
      </c>
      <c r="K4" s="37" t="inlineStr">
        <is>
          <t>Hindi</t>
        </is>
      </c>
      <c r="L4" s="37" t="n">
        <v>2128</v>
      </c>
      <c r="M4" s="37" t="n">
        <v>5</v>
      </c>
      <c r="N4" s="37" t="n">
        <v>9243.1</v>
      </c>
      <c r="O4" s="37" t="inlineStr">
        <is>
          <t>iOS</t>
        </is>
      </c>
    </row>
    <row r="5">
      <c r="A5" s="32" t="n">
        <v>4</v>
      </c>
      <c r="B5" s="33" t="n">
        <v>45770</v>
      </c>
      <c r="C5" s="34" t="inlineStr">
        <is>
          <t>April</t>
        </is>
      </c>
      <c r="D5" s="34" t="inlineStr">
        <is>
          <t>Wednesday</t>
        </is>
      </c>
      <c r="E5" s="34" t="n">
        <v>11</v>
      </c>
      <c r="F5" s="34" t="inlineStr">
        <is>
          <t>Morning</t>
        </is>
      </c>
      <c r="G5" s="34" t="inlineStr">
        <is>
          <t>Born To Shine</t>
        </is>
      </c>
      <c r="H5" s="34" t="inlineStr">
        <is>
          <t>Diljit Dosanjh</t>
        </is>
      </c>
      <c r="I5" s="34" t="inlineStr">
        <is>
          <t>G.O.A.T.</t>
        </is>
      </c>
      <c r="J5" s="34" t="inlineStr">
        <is>
          <t>Punjabi</t>
        </is>
      </c>
      <c r="K5" s="34" t="inlineStr">
        <is>
          <t>Punjabi</t>
        </is>
      </c>
      <c r="L5" s="34" t="n">
        <v>2089</v>
      </c>
      <c r="M5" s="34" t="n">
        <v>5</v>
      </c>
      <c r="N5" s="34" t="n">
        <v>8965.5</v>
      </c>
      <c r="O5" s="34" t="inlineStr">
        <is>
          <t>Android</t>
        </is>
      </c>
    </row>
    <row r="6">
      <c r="A6" s="35" t="n">
        <v>5</v>
      </c>
      <c r="B6" s="36" t="n">
        <v>45874</v>
      </c>
      <c r="C6" s="37" t="inlineStr">
        <is>
          <t>August</t>
        </is>
      </c>
      <c r="D6" s="37" t="inlineStr">
        <is>
          <t>Tuesday</t>
        </is>
      </c>
      <c r="E6" s="37" t="n">
        <v>9</v>
      </c>
      <c r="F6" s="37" t="inlineStr">
        <is>
          <t>Morning</t>
        </is>
      </c>
      <c r="G6" s="37" t="inlineStr">
        <is>
          <t>New Rules</t>
        </is>
      </c>
      <c r="H6" s="37" t="inlineStr">
        <is>
          <t>Dua Lipa</t>
        </is>
      </c>
      <c r="I6" s="37" t="inlineStr">
        <is>
          <t>Dua Lipa</t>
        </is>
      </c>
      <c r="J6" s="37" t="inlineStr">
        <is>
          <t>Pop</t>
        </is>
      </c>
      <c r="K6" s="37" t="inlineStr">
        <is>
          <t>English</t>
        </is>
      </c>
      <c r="L6" s="37" t="n">
        <v>1643</v>
      </c>
      <c r="M6" s="37" t="n">
        <v>4</v>
      </c>
      <c r="N6" s="37" t="n">
        <v>5122.4</v>
      </c>
      <c r="O6" s="37" t="inlineStr">
        <is>
          <t>Web Player</t>
        </is>
      </c>
    </row>
    <row r="7">
      <c r="A7" s="32" t="n">
        <v>6</v>
      </c>
      <c r="B7" s="33" t="n">
        <v>45852</v>
      </c>
      <c r="C7" s="34" t="inlineStr">
        <is>
          <t>July</t>
        </is>
      </c>
      <c r="D7" s="34" t="inlineStr">
        <is>
          <t>Monday</t>
        </is>
      </c>
      <c r="E7" s="34" t="n">
        <v>7</v>
      </c>
      <c r="F7" s="34" t="inlineStr">
        <is>
          <t>Morning</t>
        </is>
      </c>
      <c r="G7" s="34" t="inlineStr">
        <is>
          <t>Agar Tum Saath Ho</t>
        </is>
      </c>
      <c r="H7" s="34" t="inlineStr">
        <is>
          <t>Arijit Singh</t>
        </is>
      </c>
      <c r="I7" s="34" t="inlineStr">
        <is>
          <t>Tamasha</t>
        </is>
      </c>
      <c r="J7" s="34" t="inlineStr">
        <is>
          <t>Bollywood</t>
        </is>
      </c>
      <c r="K7" s="34" t="inlineStr">
        <is>
          <t>Hindi</t>
        </is>
      </c>
      <c r="L7" s="34" t="n">
        <v>646</v>
      </c>
      <c r="M7" s="34" t="n">
        <v>4</v>
      </c>
      <c r="N7" s="34" t="n">
        <v>2693.1</v>
      </c>
      <c r="O7" s="34" t="inlineStr">
        <is>
          <t>Web Player</t>
        </is>
      </c>
    </row>
    <row r="8">
      <c r="A8" s="35" t="n">
        <v>7</v>
      </c>
      <c r="B8" s="36" t="n">
        <v>45932</v>
      </c>
      <c r="C8" s="37" t="inlineStr">
        <is>
          <t>October</t>
        </is>
      </c>
      <c r="D8" s="37" t="inlineStr">
        <is>
          <t>Thursday</t>
        </is>
      </c>
      <c r="E8" s="37" t="n">
        <v>17</v>
      </c>
      <c r="F8" s="37" t="inlineStr">
        <is>
          <t>Evening</t>
        </is>
      </c>
      <c r="G8" s="37" t="inlineStr">
        <is>
          <t>Tauba Tauba</t>
        </is>
      </c>
      <c r="H8" s="37" t="inlineStr">
        <is>
          <t>Karan Aujla</t>
        </is>
      </c>
      <c r="I8" s="37" t="inlineStr">
        <is>
          <t>Bad Newz</t>
        </is>
      </c>
      <c r="J8" s="37" t="inlineStr">
        <is>
          <t>Bollywood</t>
        </is>
      </c>
      <c r="K8" s="37" t="inlineStr">
        <is>
          <t>Punjabi</t>
        </is>
      </c>
      <c r="L8" s="37" t="n">
        <v>761</v>
      </c>
      <c r="M8" s="37" t="n">
        <v>4</v>
      </c>
      <c r="N8" s="37" t="n">
        <v>2545.2</v>
      </c>
      <c r="O8" s="37" t="inlineStr">
        <is>
          <t>Web Player</t>
        </is>
      </c>
    </row>
    <row r="9">
      <c r="A9" s="32" t="n">
        <v>8</v>
      </c>
      <c r="B9" s="33" t="n">
        <v>45756</v>
      </c>
      <c r="C9" s="34" t="inlineStr">
        <is>
          <t>April</t>
        </is>
      </c>
      <c r="D9" s="34" t="inlineStr">
        <is>
          <t>Wednesday</t>
        </is>
      </c>
      <c r="E9" s="34" t="n">
        <v>8</v>
      </c>
      <c r="F9" s="34" t="inlineStr">
        <is>
          <t>Morning</t>
        </is>
      </c>
      <c r="G9" s="34" t="inlineStr">
        <is>
          <t>Photograph</t>
        </is>
      </c>
      <c r="H9" s="34" t="inlineStr">
        <is>
          <t>Ed Sheeran</t>
        </is>
      </c>
      <c r="I9" s="34" t="inlineStr">
        <is>
          <t>X</t>
        </is>
      </c>
      <c r="J9" s="34" t="inlineStr">
        <is>
          <t>Pop</t>
        </is>
      </c>
      <c r="K9" s="34" t="inlineStr">
        <is>
          <t>English</t>
        </is>
      </c>
      <c r="L9" s="34" t="n">
        <v>534</v>
      </c>
      <c r="M9" s="34" t="n">
        <v>3</v>
      </c>
      <c r="N9" s="34" t="n">
        <v>1476.5</v>
      </c>
      <c r="O9" s="34" t="inlineStr">
        <is>
          <t>Web Player</t>
        </is>
      </c>
    </row>
    <row r="10">
      <c r="A10" s="35" t="n">
        <v>9</v>
      </c>
      <c r="B10" s="36" t="n">
        <v>45709</v>
      </c>
      <c r="C10" s="37" t="inlineStr">
        <is>
          <t>February</t>
        </is>
      </c>
      <c r="D10" s="37" t="inlineStr">
        <is>
          <t>Friday</t>
        </is>
      </c>
      <c r="E10" s="37" t="n">
        <v>11</v>
      </c>
      <c r="F10" s="37" t="inlineStr">
        <is>
          <t>Morning</t>
        </is>
      </c>
      <c r="G10" s="37" t="inlineStr">
        <is>
          <t>Sun Raha Hai</t>
        </is>
      </c>
      <c r="H10" s="37" t="inlineStr">
        <is>
          <t>Shreya Ghoshal</t>
        </is>
      </c>
      <c r="I10" s="37" t="inlineStr">
        <is>
          <t>Aashiqui 2</t>
        </is>
      </c>
      <c r="J10" s="37" t="inlineStr">
        <is>
          <t>Bollywood</t>
        </is>
      </c>
      <c r="K10" s="37" t="inlineStr">
        <is>
          <t>Hindi</t>
        </is>
      </c>
      <c r="L10" s="37" t="n">
        <v>1806</v>
      </c>
      <c r="M10" s="37" t="n">
        <v>4</v>
      </c>
      <c r="N10" s="37" t="n">
        <v>6204.2</v>
      </c>
      <c r="O10" s="37" t="inlineStr">
        <is>
          <t>Web Player</t>
        </is>
      </c>
    </row>
    <row r="11">
      <c r="A11" s="32" t="n">
        <v>10</v>
      </c>
      <c r="B11" s="33" t="n">
        <v>45839</v>
      </c>
      <c r="C11" s="34" t="inlineStr">
        <is>
          <t>July</t>
        </is>
      </c>
      <c r="D11" s="34" t="inlineStr">
        <is>
          <t>Tuesday</t>
        </is>
      </c>
      <c r="E11" s="34" t="n">
        <v>11</v>
      </c>
      <c r="F11" s="34" t="inlineStr">
        <is>
          <t>Morning</t>
        </is>
      </c>
      <c r="G11" s="34" t="inlineStr">
        <is>
          <t>Excuses</t>
        </is>
      </c>
      <c r="H11" s="34" t="inlineStr">
        <is>
          <t>AP Dhillon</t>
        </is>
      </c>
      <c r="I11" s="34" t="inlineStr">
        <is>
          <t>Excuse</t>
        </is>
      </c>
      <c r="J11" s="34" t="inlineStr">
        <is>
          <t>Punjabi</t>
        </is>
      </c>
      <c r="K11" s="34" t="inlineStr">
        <is>
          <t>Punjabi</t>
        </is>
      </c>
      <c r="L11" s="34" t="n">
        <v>1108</v>
      </c>
      <c r="M11" s="34" t="n">
        <v>4</v>
      </c>
      <c r="N11" s="34" t="n">
        <v>4049.8</v>
      </c>
      <c r="O11" s="34" t="inlineStr">
        <is>
          <t>Android</t>
        </is>
      </c>
    </row>
    <row r="12">
      <c r="A12" s="35" t="n">
        <v>11</v>
      </c>
      <c r="B12" s="36" t="n">
        <v>45783</v>
      </c>
      <c r="C12" s="37" t="inlineStr">
        <is>
          <t>May</t>
        </is>
      </c>
      <c r="D12" s="37" t="inlineStr">
        <is>
          <t>Tuesday</t>
        </is>
      </c>
      <c r="E12" s="37" t="n">
        <v>16</v>
      </c>
      <c r="F12" s="37" t="inlineStr">
        <is>
          <t>Afternoon</t>
        </is>
      </c>
      <c r="G12" s="37" t="inlineStr">
        <is>
          <t>Shape of You</t>
        </is>
      </c>
      <c r="H12" s="37" t="inlineStr">
        <is>
          <t>Ed Sheeran</t>
        </is>
      </c>
      <c r="I12" s="37" t="inlineStr">
        <is>
          <t>Divide</t>
        </is>
      </c>
      <c r="J12" s="37" t="inlineStr">
        <is>
          <t>Pop</t>
        </is>
      </c>
      <c r="K12" s="37" t="inlineStr">
        <is>
          <t>English</t>
        </is>
      </c>
      <c r="L12" s="37" t="n">
        <v>919</v>
      </c>
      <c r="M12" s="37" t="n">
        <v>4</v>
      </c>
      <c r="N12" s="37" t="n">
        <v>3674</v>
      </c>
      <c r="O12" s="37" t="inlineStr">
        <is>
          <t>iOS</t>
        </is>
      </c>
      <c r="Q12" s="37">
        <f>SUM(L2:L101)</f>
        <v/>
      </c>
    </row>
    <row r="13">
      <c r="A13" s="32" t="n">
        <v>12</v>
      </c>
      <c r="B13" s="33" t="n">
        <v>45775</v>
      </c>
      <c r="C13" s="34" t="inlineStr">
        <is>
          <t>April</t>
        </is>
      </c>
      <c r="D13" s="34" t="inlineStr">
        <is>
          <t>Monday</t>
        </is>
      </c>
      <c r="E13" s="34" t="n">
        <v>12</v>
      </c>
      <c r="F13" s="34" t="inlineStr">
        <is>
          <t>Afternoon</t>
        </is>
      </c>
      <c r="G13" s="34" t="inlineStr">
        <is>
          <t>Tum Kya Mile</t>
        </is>
      </c>
      <c r="H13" s="34" t="inlineStr">
        <is>
          <t>Arijit Singh</t>
        </is>
      </c>
      <c r="I13" s="34" t="inlineStr">
        <is>
          <t>Rocky Aur Rani Kii Prem Kahaani</t>
        </is>
      </c>
      <c r="J13" s="34" t="inlineStr">
        <is>
          <t>Bollywood</t>
        </is>
      </c>
      <c r="K13" s="34" t="inlineStr">
        <is>
          <t>Hindi</t>
        </is>
      </c>
      <c r="L13" s="34" t="n">
        <v>381</v>
      </c>
      <c r="M13" s="34" t="n">
        <v>4</v>
      </c>
      <c r="N13" s="34" t="n">
        <v>1334.8</v>
      </c>
      <c r="O13" s="34" t="inlineStr">
        <is>
          <t>Android</t>
        </is>
      </c>
    </row>
    <row r="14">
      <c r="A14" s="35" t="n">
        <v>13</v>
      </c>
      <c r="B14" s="36" t="n">
        <v>45819</v>
      </c>
      <c r="C14" s="37" t="inlineStr">
        <is>
          <t>June</t>
        </is>
      </c>
      <c r="D14" s="37" t="inlineStr">
        <is>
          <t>Wednesday</t>
        </is>
      </c>
      <c r="E14" s="37" t="n">
        <v>10</v>
      </c>
      <c r="F14" s="37" t="inlineStr">
        <is>
          <t>Morning</t>
        </is>
      </c>
      <c r="G14" s="37" t="inlineStr">
        <is>
          <t>Photograph</t>
        </is>
      </c>
      <c r="H14" s="37" t="inlineStr">
        <is>
          <t>Ed Sheeran</t>
        </is>
      </c>
      <c r="I14" s="37" t="inlineStr">
        <is>
          <t>X</t>
        </is>
      </c>
      <c r="J14" s="37" t="inlineStr">
        <is>
          <t>Pop</t>
        </is>
      </c>
      <c r="K14" s="37" t="inlineStr">
        <is>
          <t>English</t>
        </is>
      </c>
      <c r="L14" s="37" t="n">
        <v>1120</v>
      </c>
      <c r="M14" s="37" t="n">
        <v>5</v>
      </c>
      <c r="N14" s="37" t="n">
        <v>4638.8</v>
      </c>
      <c r="O14" s="37" t="inlineStr">
        <is>
          <t>Desktop</t>
        </is>
      </c>
    </row>
    <row r="15">
      <c r="A15" s="32" t="n">
        <v>14</v>
      </c>
      <c r="B15" s="33" t="n">
        <v>45729</v>
      </c>
      <c r="C15" s="34" t="inlineStr">
        <is>
          <t>March</t>
        </is>
      </c>
      <c r="D15" s="34" t="inlineStr">
        <is>
          <t>Thursday</t>
        </is>
      </c>
      <c r="E15" s="34" t="n">
        <v>18</v>
      </c>
      <c r="F15" s="34" t="inlineStr">
        <is>
          <t>Evening</t>
        </is>
      </c>
      <c r="G15" s="34" t="inlineStr">
        <is>
          <t>Lut Gaye</t>
        </is>
      </c>
      <c r="H15" s="34" t="inlineStr">
        <is>
          <t>Jubin Nautiyal</t>
        </is>
      </c>
      <c r="I15" s="34" t="inlineStr">
        <is>
          <t>Lut Gaye</t>
        </is>
      </c>
      <c r="J15" s="34" t="inlineStr">
        <is>
          <t>Bollywood</t>
        </is>
      </c>
      <c r="K15" s="34" t="inlineStr">
        <is>
          <t>Hindi</t>
        </is>
      </c>
      <c r="L15" s="34" t="n">
        <v>1260</v>
      </c>
      <c r="M15" s="34" t="n">
        <v>5</v>
      </c>
      <c r="N15" s="34" t="n">
        <v>5744</v>
      </c>
      <c r="O15" s="34" t="inlineStr">
        <is>
          <t>Desktop</t>
        </is>
      </c>
      <c r="Q15" s="34">
        <f>SUM(N2:N101)</f>
        <v/>
      </c>
    </row>
    <row r="16">
      <c r="A16" s="35" t="n">
        <v>15</v>
      </c>
      <c r="B16" s="36" t="n">
        <v>45770</v>
      </c>
      <c r="C16" s="37" t="inlineStr">
        <is>
          <t>April</t>
        </is>
      </c>
      <c r="D16" s="37" t="inlineStr">
        <is>
          <t>Wednesday</t>
        </is>
      </c>
      <c r="E16" s="37" t="n">
        <v>9</v>
      </c>
      <c r="F16" s="37" t="inlineStr">
        <is>
          <t>Morning</t>
        </is>
      </c>
      <c r="G16" s="37" t="inlineStr">
        <is>
          <t>Excuses</t>
        </is>
      </c>
      <c r="H16" s="37" t="inlineStr">
        <is>
          <t>AP Dhillon</t>
        </is>
      </c>
      <c r="I16" s="37" t="inlineStr">
        <is>
          <t>Excuse</t>
        </is>
      </c>
      <c r="J16" s="37" t="inlineStr">
        <is>
          <t>Punjabi</t>
        </is>
      </c>
      <c r="K16" s="37" t="inlineStr">
        <is>
          <t>Punjabi</t>
        </is>
      </c>
      <c r="L16" s="37" t="n">
        <v>816</v>
      </c>
      <c r="M16" s="37" t="n">
        <v>5</v>
      </c>
      <c r="N16" s="37" t="n">
        <v>3518.8</v>
      </c>
      <c r="O16" s="37" t="inlineStr">
        <is>
          <t>Android</t>
        </is>
      </c>
    </row>
    <row r="17">
      <c r="A17" s="32" t="n">
        <v>16</v>
      </c>
      <c r="B17" s="33" t="n">
        <v>45979</v>
      </c>
      <c r="C17" s="34" t="inlineStr">
        <is>
          <t>November</t>
        </is>
      </c>
      <c r="D17" s="34" t="inlineStr">
        <is>
          <t>Tuesday</t>
        </is>
      </c>
      <c r="E17" s="34" t="n">
        <v>18</v>
      </c>
      <c r="F17" s="34" t="inlineStr">
        <is>
          <t>Evening</t>
        </is>
      </c>
      <c r="G17" s="34" t="inlineStr">
        <is>
          <t>O Maahi</t>
        </is>
      </c>
      <c r="H17" s="34" t="inlineStr">
        <is>
          <t>Arijit Singh</t>
        </is>
      </c>
      <c r="I17" s="34" t="inlineStr">
        <is>
          <t>Dunki</t>
        </is>
      </c>
      <c r="J17" s="34" t="inlineStr">
        <is>
          <t>Bollywood</t>
        </is>
      </c>
      <c r="K17" s="34" t="inlineStr">
        <is>
          <t>Hindi</t>
        </is>
      </c>
      <c r="L17" s="34" t="n">
        <v>905</v>
      </c>
      <c r="M17" s="34" t="n">
        <v>4</v>
      </c>
      <c r="N17" s="34" t="n">
        <v>3735.3</v>
      </c>
      <c r="O17" s="34" t="inlineStr">
        <is>
          <t>Desktop</t>
        </is>
      </c>
    </row>
    <row r="18">
      <c r="A18" s="35" t="n">
        <v>17</v>
      </c>
      <c r="B18" s="36" t="n">
        <v>45897</v>
      </c>
      <c r="C18" s="37" t="inlineStr">
        <is>
          <t>August</t>
        </is>
      </c>
      <c r="D18" s="37" t="inlineStr">
        <is>
          <t>Thursday</t>
        </is>
      </c>
      <c r="E18" s="37" t="n">
        <v>9</v>
      </c>
      <c r="F18" s="37" t="inlineStr">
        <is>
          <t>Morning</t>
        </is>
      </c>
      <c r="G18" s="37" t="inlineStr">
        <is>
          <t>Circles</t>
        </is>
      </c>
      <c r="H18" s="37" t="inlineStr">
        <is>
          <t>Post Malone</t>
        </is>
      </c>
      <c r="I18" s="37" t="inlineStr">
        <is>
          <t>Hollywood's Bleeding</t>
        </is>
      </c>
      <c r="J18" s="37" t="inlineStr">
        <is>
          <t>Hip-Hop</t>
        </is>
      </c>
      <c r="K18" s="37" t="inlineStr">
        <is>
          <t>English</t>
        </is>
      </c>
      <c r="L18" s="37" t="n">
        <v>2417</v>
      </c>
      <c r="M18" s="37" t="n">
        <v>3</v>
      </c>
      <c r="N18" s="37" t="n">
        <v>9362.799999999999</v>
      </c>
      <c r="O18" s="37" t="inlineStr">
        <is>
          <t>Android</t>
        </is>
      </c>
    </row>
    <row r="19">
      <c r="A19" s="32" t="n">
        <v>18</v>
      </c>
      <c r="B19" s="33" t="n">
        <v>45932</v>
      </c>
      <c r="C19" s="34" t="inlineStr">
        <is>
          <t>October</t>
        </is>
      </c>
      <c r="D19" s="34" t="inlineStr">
        <is>
          <t>Thursday</t>
        </is>
      </c>
      <c r="E19" s="34" t="n">
        <v>11</v>
      </c>
      <c r="F19" s="34" t="inlineStr">
        <is>
          <t>Morning</t>
        </is>
      </c>
      <c r="G19" s="34" t="inlineStr">
        <is>
          <t>Levitating</t>
        </is>
      </c>
      <c r="H19" s="34" t="inlineStr">
        <is>
          <t>Dua Lipa</t>
        </is>
      </c>
      <c r="I19" s="34" t="inlineStr">
        <is>
          <t>Future Nostalgia</t>
        </is>
      </c>
      <c r="J19" s="34" t="inlineStr">
        <is>
          <t>Pop</t>
        </is>
      </c>
      <c r="K19" s="34" t="inlineStr">
        <is>
          <t>English</t>
        </is>
      </c>
      <c r="L19" s="34" t="n">
        <v>1342</v>
      </c>
      <c r="M19" s="34" t="n">
        <v>4</v>
      </c>
      <c r="N19" s="34" t="n">
        <v>4389.2</v>
      </c>
      <c r="O19" s="34" t="inlineStr">
        <is>
          <t>Desktop</t>
        </is>
      </c>
    </row>
    <row r="20">
      <c r="A20" s="35" t="n">
        <v>19</v>
      </c>
      <c r="B20" s="36" t="n">
        <v>45659</v>
      </c>
      <c r="C20" s="37" t="inlineStr">
        <is>
          <t>January</t>
        </is>
      </c>
      <c r="D20" s="37" t="inlineStr">
        <is>
          <t>Thursday</t>
        </is>
      </c>
      <c r="E20" s="37" t="n">
        <v>15</v>
      </c>
      <c r="F20" s="37" t="inlineStr">
        <is>
          <t>Afternoon</t>
        </is>
      </c>
      <c r="G20" s="37" t="inlineStr">
        <is>
          <t>Tauba Tauba</t>
        </is>
      </c>
      <c r="H20" s="37" t="inlineStr">
        <is>
          <t>Karan Aujla</t>
        </is>
      </c>
      <c r="I20" s="37" t="inlineStr">
        <is>
          <t>Bad Newz</t>
        </is>
      </c>
      <c r="J20" s="37" t="inlineStr">
        <is>
          <t>Bollywood</t>
        </is>
      </c>
      <c r="K20" s="37" t="inlineStr">
        <is>
          <t>Punjabi</t>
        </is>
      </c>
      <c r="L20" s="37" t="n">
        <v>1328</v>
      </c>
      <c r="M20" s="37" t="n">
        <v>5</v>
      </c>
      <c r="N20" s="37" t="n">
        <v>6157.2</v>
      </c>
      <c r="O20" s="37" t="inlineStr">
        <is>
          <t>Android</t>
        </is>
      </c>
      <c r="Q20" s="37">
        <f>COUNTA(G2:G101)</f>
        <v/>
      </c>
    </row>
    <row r="21">
      <c r="A21" s="32" t="n">
        <v>20</v>
      </c>
      <c r="B21" s="33" t="n">
        <v>45917</v>
      </c>
      <c r="C21" s="34" t="inlineStr">
        <is>
          <t>September</t>
        </is>
      </c>
      <c r="D21" s="34" t="inlineStr">
        <is>
          <t>Wednesday</t>
        </is>
      </c>
      <c r="E21" s="34" t="n">
        <v>23</v>
      </c>
      <c r="F21" s="34" t="inlineStr">
        <is>
          <t>Night</t>
        </is>
      </c>
      <c r="G21" s="34" t="inlineStr">
        <is>
          <t>Love Yourself</t>
        </is>
      </c>
      <c r="H21" s="34" t="inlineStr">
        <is>
          <t>Justin Bieber</t>
        </is>
      </c>
      <c r="I21" s="34" t="inlineStr">
        <is>
          <t>Purpose</t>
        </is>
      </c>
      <c r="J21" s="34" t="inlineStr">
        <is>
          <t>Pop</t>
        </is>
      </c>
      <c r="K21" s="34" t="inlineStr">
        <is>
          <t>English</t>
        </is>
      </c>
      <c r="L21" s="34" t="n">
        <v>2744</v>
      </c>
      <c r="M21" s="34" t="n">
        <v>3</v>
      </c>
      <c r="N21" s="34" t="n">
        <v>7817.7</v>
      </c>
      <c r="O21" s="34" t="inlineStr">
        <is>
          <t>iOS</t>
        </is>
      </c>
    </row>
    <row r="22">
      <c r="A22" s="35" t="n">
        <v>21</v>
      </c>
      <c r="B22" s="36" t="n">
        <v>45658</v>
      </c>
      <c r="C22" s="37" t="inlineStr">
        <is>
          <t>January</t>
        </is>
      </c>
      <c r="D22" s="37" t="inlineStr">
        <is>
          <t>Wednesday</t>
        </is>
      </c>
      <c r="E22" s="37" t="n">
        <v>17</v>
      </c>
      <c r="F22" s="37" t="inlineStr">
        <is>
          <t>Evening</t>
        </is>
      </c>
      <c r="G22" s="37" t="inlineStr">
        <is>
          <t>Save Your Tears</t>
        </is>
      </c>
      <c r="H22" s="37" t="inlineStr">
        <is>
          <t>The Weeknd</t>
        </is>
      </c>
      <c r="I22" s="37" t="inlineStr">
        <is>
          <t>After Hours</t>
        </is>
      </c>
      <c r="J22" s="37" t="inlineStr">
        <is>
          <t>Pop</t>
        </is>
      </c>
      <c r="K22" s="37" t="inlineStr">
        <is>
          <t>English</t>
        </is>
      </c>
      <c r="L22" s="37" t="n">
        <v>2703</v>
      </c>
      <c r="M22" s="37" t="n">
        <v>4</v>
      </c>
      <c r="N22" s="37" t="n">
        <v>9806.9</v>
      </c>
      <c r="O22" s="37" t="inlineStr">
        <is>
          <t>Android</t>
        </is>
      </c>
      <c r="R22" s="37">
        <f>INDEX(H2:H101,MATCH(MAX(L2:L101),L2:L101,0))</f>
        <v/>
      </c>
    </row>
    <row r="23">
      <c r="A23" s="32" t="n">
        <v>22</v>
      </c>
      <c r="B23" s="33" t="n">
        <v>45780</v>
      </c>
      <c r="C23" s="34" t="inlineStr">
        <is>
          <t>May</t>
        </is>
      </c>
      <c r="D23" s="34" t="inlineStr">
        <is>
          <t>Saturday</t>
        </is>
      </c>
      <c r="E23" s="34" t="n">
        <v>8</v>
      </c>
      <c r="F23" s="34" t="inlineStr">
        <is>
          <t>Morning</t>
        </is>
      </c>
      <c r="G23" s="34" t="inlineStr">
        <is>
          <t>Heeriye</t>
        </is>
      </c>
      <c r="H23" s="34" t="inlineStr">
        <is>
          <t>Jasleen Royal</t>
        </is>
      </c>
      <c r="I23" s="34" t="inlineStr">
        <is>
          <t>Heeriye</t>
        </is>
      </c>
      <c r="J23" s="34" t="inlineStr">
        <is>
          <t>Bollywood</t>
        </is>
      </c>
      <c r="K23" s="34" t="inlineStr">
        <is>
          <t>Hindi</t>
        </is>
      </c>
      <c r="L23" s="34" t="n">
        <v>487</v>
      </c>
      <c r="M23" s="34" t="n">
        <v>3</v>
      </c>
      <c r="N23" s="34" t="n">
        <v>1816.5</v>
      </c>
      <c r="O23" s="34" t="inlineStr">
        <is>
          <t>Android</t>
        </is>
      </c>
    </row>
    <row r="24">
      <c r="A24" s="35" t="n">
        <v>23</v>
      </c>
      <c r="B24" s="36" t="n">
        <v>45693</v>
      </c>
      <c r="C24" s="37" t="inlineStr">
        <is>
          <t>February</t>
        </is>
      </c>
      <c r="D24" s="37" t="inlineStr">
        <is>
          <t>Wednesday</t>
        </is>
      </c>
      <c r="E24" s="37" t="n">
        <v>23</v>
      </c>
      <c r="F24" s="37" t="inlineStr">
        <is>
          <t>Night</t>
        </is>
      </c>
      <c r="G24" s="37" t="inlineStr">
        <is>
          <t>Blinding Lights</t>
        </is>
      </c>
      <c r="H24" s="37" t="inlineStr">
        <is>
          <t>The Weeknd</t>
        </is>
      </c>
      <c r="I24" s="37" t="inlineStr">
        <is>
          <t>After Hours</t>
        </is>
      </c>
      <c r="J24" s="37" t="inlineStr">
        <is>
          <t>Pop</t>
        </is>
      </c>
      <c r="K24" s="37" t="inlineStr">
        <is>
          <t>English</t>
        </is>
      </c>
      <c r="L24" s="37" t="n">
        <v>2431</v>
      </c>
      <c r="M24" s="37" t="n">
        <v>3</v>
      </c>
      <c r="N24" s="37" t="n">
        <v>6318.6</v>
      </c>
      <c r="O24" s="37" t="inlineStr">
        <is>
          <t>Desktop</t>
        </is>
      </c>
    </row>
    <row r="25">
      <c r="A25" s="32" t="n">
        <v>24</v>
      </c>
      <c r="B25" s="33" t="n">
        <v>45793</v>
      </c>
      <c r="C25" s="34" t="inlineStr">
        <is>
          <t>May</t>
        </is>
      </c>
      <c r="D25" s="34" t="inlineStr">
        <is>
          <t>Friday</t>
        </is>
      </c>
      <c r="E25" s="34" t="n">
        <v>23</v>
      </c>
      <c r="F25" s="34" t="inlineStr">
        <is>
          <t>Night</t>
        </is>
      </c>
      <c r="G25" s="34" t="inlineStr">
        <is>
          <t>Param Sundari</t>
        </is>
      </c>
      <c r="H25" s="34" t="inlineStr">
        <is>
          <t>Shreya Ghoshal</t>
        </is>
      </c>
      <c r="I25" s="34" t="inlineStr">
        <is>
          <t>Mimi</t>
        </is>
      </c>
      <c r="J25" s="34" t="inlineStr">
        <is>
          <t>Bollywood</t>
        </is>
      </c>
      <c r="K25" s="34" t="inlineStr">
        <is>
          <t>Hindi</t>
        </is>
      </c>
      <c r="L25" s="34" t="n">
        <v>2411</v>
      </c>
      <c r="M25" s="34" t="n">
        <v>5</v>
      </c>
      <c r="N25" s="34" t="n">
        <v>11006.4</v>
      </c>
      <c r="O25" s="34" t="inlineStr">
        <is>
          <t>iOS</t>
        </is>
      </c>
    </row>
    <row r="26">
      <c r="A26" s="35" t="n">
        <v>25</v>
      </c>
      <c r="B26" s="36" t="n">
        <v>45760</v>
      </c>
      <c r="C26" s="37" t="inlineStr">
        <is>
          <t>April</t>
        </is>
      </c>
      <c r="D26" s="37" t="inlineStr">
        <is>
          <t>Sunday</t>
        </is>
      </c>
      <c r="E26" s="37" t="n">
        <v>20</v>
      </c>
      <c r="F26" s="37" t="inlineStr">
        <is>
          <t>Evening</t>
        </is>
      </c>
      <c r="G26" s="37" t="inlineStr">
        <is>
          <t>New Rules</t>
        </is>
      </c>
      <c r="H26" s="37" t="inlineStr">
        <is>
          <t>Dua Lipa</t>
        </is>
      </c>
      <c r="I26" s="37" t="inlineStr">
        <is>
          <t>Dua Lipa</t>
        </is>
      </c>
      <c r="J26" s="37" t="inlineStr">
        <is>
          <t>Pop</t>
        </is>
      </c>
      <c r="K26" s="37" t="inlineStr">
        <is>
          <t>English</t>
        </is>
      </c>
      <c r="L26" s="37" t="n">
        <v>1526</v>
      </c>
      <c r="M26" s="37" t="n">
        <v>4</v>
      </c>
      <c r="N26" s="37" t="n">
        <v>6895.2</v>
      </c>
      <c r="O26" s="37" t="inlineStr">
        <is>
          <t>Web Player</t>
        </is>
      </c>
    </row>
    <row r="27">
      <c r="A27" s="32" t="n">
        <v>26</v>
      </c>
      <c r="B27" s="33" t="n">
        <v>45889</v>
      </c>
      <c r="C27" s="34" t="inlineStr">
        <is>
          <t>August</t>
        </is>
      </c>
      <c r="D27" s="34" t="inlineStr">
        <is>
          <t>Wednesday</t>
        </is>
      </c>
      <c r="E27" s="34" t="n">
        <v>6</v>
      </c>
      <c r="F27" s="34" t="inlineStr">
        <is>
          <t>Morning</t>
        </is>
      </c>
      <c r="G27" s="34" t="inlineStr">
        <is>
          <t>Save Your Tears</t>
        </is>
      </c>
      <c r="H27" s="34" t="inlineStr">
        <is>
          <t>The Weeknd</t>
        </is>
      </c>
      <c r="I27" s="34" t="inlineStr">
        <is>
          <t>After Hours</t>
        </is>
      </c>
      <c r="J27" s="34" t="inlineStr">
        <is>
          <t>Pop</t>
        </is>
      </c>
      <c r="K27" s="34" t="inlineStr">
        <is>
          <t>English</t>
        </is>
      </c>
      <c r="L27" s="34" t="n">
        <v>745</v>
      </c>
      <c r="M27" s="34" t="n">
        <v>3</v>
      </c>
      <c r="N27" s="34" t="n">
        <v>2300.4</v>
      </c>
      <c r="O27" s="34" t="inlineStr">
        <is>
          <t>Web Player</t>
        </is>
      </c>
    </row>
    <row r="28">
      <c r="A28" s="35" t="n">
        <v>27</v>
      </c>
      <c r="B28" s="36" t="n">
        <v>45941</v>
      </c>
      <c r="C28" s="37" t="inlineStr">
        <is>
          <t>October</t>
        </is>
      </c>
      <c r="D28" s="37" t="inlineStr">
        <is>
          <t>Saturday</t>
        </is>
      </c>
      <c r="E28" s="37" t="n">
        <v>7</v>
      </c>
      <c r="F28" s="37" t="inlineStr">
        <is>
          <t>Morning</t>
        </is>
      </c>
      <c r="G28" s="37" t="inlineStr">
        <is>
          <t>Sunflower</t>
        </is>
      </c>
      <c r="H28" s="37" t="inlineStr">
        <is>
          <t>Post Malone</t>
        </is>
      </c>
      <c r="I28" s="37" t="inlineStr">
        <is>
          <t>Spider-Man: Into the Spider-Verse</t>
        </is>
      </c>
      <c r="J28" s="37" t="inlineStr">
        <is>
          <t>Hip-Hop</t>
        </is>
      </c>
      <c r="K28" s="37" t="inlineStr">
        <is>
          <t>English</t>
        </is>
      </c>
      <c r="L28" s="37" t="n">
        <v>1192</v>
      </c>
      <c r="M28" s="37" t="n">
        <v>5</v>
      </c>
      <c r="N28" s="37" t="n">
        <v>5018.5</v>
      </c>
      <c r="O28" s="37" t="inlineStr">
        <is>
          <t>Android</t>
        </is>
      </c>
    </row>
    <row r="29">
      <c r="A29" s="32" t="n">
        <v>28</v>
      </c>
      <c r="B29" s="33" t="n">
        <v>45692</v>
      </c>
      <c r="C29" s="34" t="inlineStr">
        <is>
          <t>February</t>
        </is>
      </c>
      <c r="D29" s="34" t="inlineStr">
        <is>
          <t>Tuesday</t>
        </is>
      </c>
      <c r="E29" s="34" t="n">
        <v>14</v>
      </c>
      <c r="F29" s="34" t="inlineStr">
        <is>
          <t>Afternoon</t>
        </is>
      </c>
      <c r="G29" s="34" t="inlineStr">
        <is>
          <t>Sun Raha Hai</t>
        </is>
      </c>
      <c r="H29" s="34" t="inlineStr">
        <is>
          <t>Shreya Ghoshal</t>
        </is>
      </c>
      <c r="I29" s="34" t="inlineStr">
        <is>
          <t>Aashiqui 2</t>
        </is>
      </c>
      <c r="J29" s="34" t="inlineStr">
        <is>
          <t>Bollywood</t>
        </is>
      </c>
      <c r="K29" s="34" t="inlineStr">
        <is>
          <t>Hindi</t>
        </is>
      </c>
      <c r="L29" s="34" t="n">
        <v>378</v>
      </c>
      <c r="M29" s="34" t="n">
        <v>4</v>
      </c>
      <c r="N29" s="34" t="n">
        <v>1204.9</v>
      </c>
      <c r="O29" s="34" t="inlineStr">
        <is>
          <t>iOS</t>
        </is>
      </c>
    </row>
    <row r="30">
      <c r="A30" s="35" t="n">
        <v>29</v>
      </c>
      <c r="B30" s="36" t="n">
        <v>45906</v>
      </c>
      <c r="C30" s="37" t="inlineStr">
        <is>
          <t>September</t>
        </is>
      </c>
      <c r="D30" s="37" t="inlineStr">
        <is>
          <t>Saturday</t>
        </is>
      </c>
      <c r="E30" s="37" t="n">
        <v>13</v>
      </c>
      <c r="F30" s="37" t="inlineStr">
        <is>
          <t>Afternoon</t>
        </is>
      </c>
      <c r="G30" s="37" t="inlineStr">
        <is>
          <t>Lovely</t>
        </is>
      </c>
      <c r="H30" s="37" t="inlineStr">
        <is>
          <t>Billie Eilish</t>
        </is>
      </c>
      <c r="I30" s="37" t="inlineStr">
        <is>
          <t>13 Reasons Why</t>
        </is>
      </c>
      <c r="J30" s="37" t="inlineStr">
        <is>
          <t>Pop</t>
        </is>
      </c>
      <c r="K30" s="37" t="inlineStr">
        <is>
          <t>English</t>
        </is>
      </c>
      <c r="L30" s="37" t="n">
        <v>1127</v>
      </c>
      <c r="M30" s="37" t="n">
        <v>5</v>
      </c>
      <c r="N30" s="37" t="n">
        <v>4435.3</v>
      </c>
      <c r="O30" s="37" t="inlineStr">
        <is>
          <t>Desktop</t>
        </is>
      </c>
    </row>
    <row r="31">
      <c r="A31" s="32" t="n">
        <v>30</v>
      </c>
      <c r="B31" s="33" t="n">
        <v>45866</v>
      </c>
      <c r="C31" s="34" t="inlineStr">
        <is>
          <t>July</t>
        </is>
      </c>
      <c r="D31" s="34" t="inlineStr">
        <is>
          <t>Monday</t>
        </is>
      </c>
      <c r="E31" s="34" t="n">
        <v>17</v>
      </c>
      <c r="F31" s="34" t="inlineStr">
        <is>
          <t>Evening</t>
        </is>
      </c>
      <c r="G31" s="34" t="inlineStr">
        <is>
          <t>After Hours</t>
        </is>
      </c>
      <c r="H31" s="34" t="inlineStr">
        <is>
          <t>The Weeknd</t>
        </is>
      </c>
      <c r="I31" s="34" t="inlineStr">
        <is>
          <t>After Hours</t>
        </is>
      </c>
      <c r="J31" s="34" t="inlineStr">
        <is>
          <t>R&amp;B</t>
        </is>
      </c>
      <c r="K31" s="34" t="inlineStr">
        <is>
          <t>English</t>
        </is>
      </c>
      <c r="L31" s="34" t="n">
        <v>1029</v>
      </c>
      <c r="M31" s="34" t="n">
        <v>3</v>
      </c>
      <c r="N31" s="34" t="n">
        <v>2543.3</v>
      </c>
      <c r="O31" s="34" t="inlineStr">
        <is>
          <t>Desktop</t>
        </is>
      </c>
    </row>
    <row r="32">
      <c r="A32" s="35" t="n">
        <v>31</v>
      </c>
      <c r="B32" s="36" t="n">
        <v>45868</v>
      </c>
      <c r="C32" s="37" t="inlineStr">
        <is>
          <t>July</t>
        </is>
      </c>
      <c r="D32" s="37" t="inlineStr">
        <is>
          <t>Wednesday</t>
        </is>
      </c>
      <c r="E32" s="37" t="n">
        <v>7</v>
      </c>
      <c r="F32" s="37" t="inlineStr">
        <is>
          <t>Morning</t>
        </is>
      </c>
      <c r="G32" s="37" t="inlineStr">
        <is>
          <t>Lover</t>
        </is>
      </c>
      <c r="H32" s="37" t="inlineStr">
        <is>
          <t>Diljit Dosanjh</t>
        </is>
      </c>
      <c r="I32" s="37" t="inlineStr">
        <is>
          <t>G.O.A.T.</t>
        </is>
      </c>
      <c r="J32" s="37" t="inlineStr">
        <is>
          <t>Punjabi</t>
        </is>
      </c>
      <c r="K32" s="37" t="inlineStr">
        <is>
          <t>Punjabi</t>
        </is>
      </c>
      <c r="L32" s="37" t="n">
        <v>2162</v>
      </c>
      <c r="M32" s="37" t="n">
        <v>3</v>
      </c>
      <c r="N32" s="37" t="n">
        <v>6063.5</v>
      </c>
      <c r="O32" s="37" t="inlineStr">
        <is>
          <t>Android</t>
        </is>
      </c>
    </row>
    <row r="33">
      <c r="A33" s="32" t="n">
        <v>32</v>
      </c>
      <c r="B33" s="33" t="n">
        <v>45831</v>
      </c>
      <c r="C33" s="34" t="inlineStr">
        <is>
          <t>June</t>
        </is>
      </c>
      <c r="D33" s="34" t="inlineStr">
        <is>
          <t>Monday</t>
        </is>
      </c>
      <c r="E33" s="34" t="n">
        <v>10</v>
      </c>
      <c r="F33" s="34" t="inlineStr">
        <is>
          <t>Morning</t>
        </is>
      </c>
      <c r="G33" s="34" t="inlineStr">
        <is>
          <t>With You</t>
        </is>
      </c>
      <c r="H33" s="34" t="inlineStr">
        <is>
          <t>AP Dhillon</t>
        </is>
      </c>
      <c r="I33" s="34" t="inlineStr">
        <is>
          <t>With You</t>
        </is>
      </c>
      <c r="J33" s="34" t="inlineStr">
        <is>
          <t>Punjabi</t>
        </is>
      </c>
      <c r="K33" s="34" t="inlineStr">
        <is>
          <t>Punjabi</t>
        </is>
      </c>
      <c r="L33" s="34" t="n">
        <v>697</v>
      </c>
      <c r="M33" s="34" t="n">
        <v>3</v>
      </c>
      <c r="N33" s="34" t="n">
        <v>2128.4</v>
      </c>
      <c r="O33" s="34" t="inlineStr">
        <is>
          <t>Desktop</t>
        </is>
      </c>
    </row>
    <row r="34">
      <c r="A34" s="35" t="n">
        <v>33</v>
      </c>
      <c r="B34" s="36" t="n">
        <v>45751</v>
      </c>
      <c r="C34" s="37" t="inlineStr">
        <is>
          <t>April</t>
        </is>
      </c>
      <c r="D34" s="37" t="inlineStr">
        <is>
          <t>Friday</t>
        </is>
      </c>
      <c r="E34" s="37" t="n">
        <v>20</v>
      </c>
      <c r="F34" s="37" t="inlineStr">
        <is>
          <t>Evening</t>
        </is>
      </c>
      <c r="G34" s="37" t="inlineStr">
        <is>
          <t>Lover</t>
        </is>
      </c>
      <c r="H34" s="37" t="inlineStr">
        <is>
          <t>Diljit Dosanjh</t>
        </is>
      </c>
      <c r="I34" s="37" t="inlineStr">
        <is>
          <t>G.O.A.T.</t>
        </is>
      </c>
      <c r="J34" s="37" t="inlineStr">
        <is>
          <t>Punjabi</t>
        </is>
      </c>
      <c r="K34" s="37" t="inlineStr">
        <is>
          <t>Punjabi</t>
        </is>
      </c>
      <c r="L34" s="37" t="n">
        <v>1390</v>
      </c>
      <c r="M34" s="37" t="n">
        <v>4</v>
      </c>
      <c r="N34" s="37" t="n">
        <v>5328.1</v>
      </c>
      <c r="O34" s="37" t="inlineStr">
        <is>
          <t>Android</t>
        </is>
      </c>
    </row>
    <row r="35">
      <c r="A35" s="32" t="n">
        <v>34</v>
      </c>
      <c r="B35" s="33" t="n">
        <v>45708</v>
      </c>
      <c r="C35" s="34" t="inlineStr">
        <is>
          <t>February</t>
        </is>
      </c>
      <c r="D35" s="34" t="inlineStr">
        <is>
          <t>Thursday</t>
        </is>
      </c>
      <c r="E35" s="34" t="n">
        <v>13</v>
      </c>
      <c r="F35" s="34" t="inlineStr">
        <is>
          <t>Afternoon</t>
        </is>
      </c>
      <c r="G35" s="34" t="inlineStr">
        <is>
          <t>Perfect</t>
        </is>
      </c>
      <c r="H35" s="34" t="inlineStr">
        <is>
          <t>Ed Sheeran</t>
        </is>
      </c>
      <c r="I35" s="34" t="inlineStr">
        <is>
          <t>Divide</t>
        </is>
      </c>
      <c r="J35" s="34" t="inlineStr">
        <is>
          <t>Pop</t>
        </is>
      </c>
      <c r="K35" s="34" t="inlineStr">
        <is>
          <t>English</t>
        </is>
      </c>
      <c r="L35" s="34" t="n">
        <v>457</v>
      </c>
      <c r="M35" s="34" t="n">
        <v>5</v>
      </c>
      <c r="N35" s="34" t="n">
        <v>2234.7</v>
      </c>
      <c r="O35" s="34" t="inlineStr">
        <is>
          <t>Android</t>
        </is>
      </c>
    </row>
    <row r="36">
      <c r="A36" s="35" t="n">
        <v>35</v>
      </c>
      <c r="B36" s="36" t="n">
        <v>45866</v>
      </c>
      <c r="C36" s="37" t="inlineStr">
        <is>
          <t>July</t>
        </is>
      </c>
      <c r="D36" s="37" t="inlineStr">
        <is>
          <t>Monday</t>
        </is>
      </c>
      <c r="E36" s="37" t="n">
        <v>7</v>
      </c>
      <c r="F36" s="37" t="inlineStr">
        <is>
          <t>Morning</t>
        </is>
      </c>
      <c r="G36" s="37" t="inlineStr">
        <is>
          <t>Param Sundari</t>
        </is>
      </c>
      <c r="H36" s="37" t="inlineStr">
        <is>
          <t>Shreya Ghoshal</t>
        </is>
      </c>
      <c r="I36" s="37" t="inlineStr">
        <is>
          <t>Mimi</t>
        </is>
      </c>
      <c r="J36" s="37" t="inlineStr">
        <is>
          <t>Bollywood</t>
        </is>
      </c>
      <c r="K36" s="37" t="inlineStr">
        <is>
          <t>Hindi</t>
        </is>
      </c>
      <c r="L36" s="37" t="n">
        <v>2239</v>
      </c>
      <c r="M36" s="37" t="n">
        <v>4</v>
      </c>
      <c r="N36" s="37" t="n">
        <v>8624.700000000001</v>
      </c>
      <c r="O36" s="37" t="inlineStr">
        <is>
          <t>Desktop</t>
        </is>
      </c>
    </row>
    <row r="37">
      <c r="A37" s="32" t="n">
        <v>36</v>
      </c>
      <c r="B37" s="33" t="n">
        <v>45852</v>
      </c>
      <c r="C37" s="34" t="inlineStr">
        <is>
          <t>July</t>
        </is>
      </c>
      <c r="D37" s="34" t="inlineStr">
        <is>
          <t>Monday</t>
        </is>
      </c>
      <c r="E37" s="34" t="n">
        <v>15</v>
      </c>
      <c r="F37" s="34" t="inlineStr">
        <is>
          <t>Afternoon</t>
        </is>
      </c>
      <c r="G37" s="34" t="inlineStr">
        <is>
          <t>Param Sundari</t>
        </is>
      </c>
      <c r="H37" s="34" t="inlineStr">
        <is>
          <t>Shreya Ghoshal</t>
        </is>
      </c>
      <c r="I37" s="34" t="inlineStr">
        <is>
          <t>Mimi</t>
        </is>
      </c>
      <c r="J37" s="34" t="inlineStr">
        <is>
          <t>Bollywood</t>
        </is>
      </c>
      <c r="K37" s="34" t="inlineStr">
        <is>
          <t>Hindi</t>
        </is>
      </c>
      <c r="L37" s="34" t="n">
        <v>258</v>
      </c>
      <c r="M37" s="34" t="n">
        <v>4</v>
      </c>
      <c r="N37" s="34" t="n">
        <v>929.5</v>
      </c>
      <c r="O37" s="34" t="inlineStr">
        <is>
          <t>Desktop</t>
        </is>
      </c>
    </row>
    <row r="38">
      <c r="A38" s="35" t="n">
        <v>37</v>
      </c>
      <c r="B38" s="36" t="n">
        <v>46014</v>
      </c>
      <c r="C38" s="37" t="inlineStr">
        <is>
          <t>December</t>
        </is>
      </c>
      <c r="D38" s="37" t="inlineStr">
        <is>
          <t>Tuesday</t>
        </is>
      </c>
      <c r="E38" s="37" t="n">
        <v>12</v>
      </c>
      <c r="F38" s="37" t="inlineStr">
        <is>
          <t>Afternoon</t>
        </is>
      </c>
      <c r="G38" s="37" t="inlineStr">
        <is>
          <t>Lover</t>
        </is>
      </c>
      <c r="H38" s="37" t="inlineStr">
        <is>
          <t>Diljit Dosanjh</t>
        </is>
      </c>
      <c r="I38" s="37" t="inlineStr">
        <is>
          <t>G.O.A.T.</t>
        </is>
      </c>
      <c r="J38" s="37" t="inlineStr">
        <is>
          <t>Punjabi</t>
        </is>
      </c>
      <c r="K38" s="37" t="inlineStr">
        <is>
          <t>Punjabi</t>
        </is>
      </c>
      <c r="L38" s="37" t="n">
        <v>2526</v>
      </c>
      <c r="M38" s="37" t="n">
        <v>4</v>
      </c>
      <c r="N38" s="37" t="n">
        <v>9569.9</v>
      </c>
      <c r="O38" s="37" t="inlineStr">
        <is>
          <t>Web Player</t>
        </is>
      </c>
    </row>
    <row r="39">
      <c r="A39" s="32" t="n">
        <v>38</v>
      </c>
      <c r="B39" s="33" t="n">
        <v>45954</v>
      </c>
      <c r="C39" s="34" t="inlineStr">
        <is>
          <t>October</t>
        </is>
      </c>
      <c r="D39" s="34" t="inlineStr">
        <is>
          <t>Friday</t>
        </is>
      </c>
      <c r="E39" s="34" t="n">
        <v>7</v>
      </c>
      <c r="F39" s="34" t="inlineStr">
        <is>
          <t>Morning</t>
        </is>
      </c>
      <c r="G39" s="34" t="inlineStr">
        <is>
          <t>Tum Kya Mile</t>
        </is>
      </c>
      <c r="H39" s="34" t="inlineStr">
        <is>
          <t>Arijit Singh</t>
        </is>
      </c>
      <c r="I39" s="34" t="inlineStr">
        <is>
          <t>Rocky Aur Rani Kii Prem Kahaani</t>
        </is>
      </c>
      <c r="J39" s="34" t="inlineStr">
        <is>
          <t>Bollywood</t>
        </is>
      </c>
      <c r="K39" s="34" t="inlineStr">
        <is>
          <t>Hindi</t>
        </is>
      </c>
      <c r="L39" s="34" t="n">
        <v>2470</v>
      </c>
      <c r="M39" s="34" t="n">
        <v>3</v>
      </c>
      <c r="N39" s="34" t="n">
        <v>7152.7</v>
      </c>
      <c r="O39" s="34" t="inlineStr">
        <is>
          <t>Android</t>
        </is>
      </c>
    </row>
    <row r="40">
      <c r="A40" s="35" t="n">
        <v>39</v>
      </c>
      <c r="B40" s="36" t="n">
        <v>45902</v>
      </c>
      <c r="C40" s="37" t="inlineStr">
        <is>
          <t>September</t>
        </is>
      </c>
      <c r="D40" s="37" t="inlineStr">
        <is>
          <t>Tuesday</t>
        </is>
      </c>
      <c r="E40" s="37" t="n">
        <v>11</v>
      </c>
      <c r="F40" s="37" t="inlineStr">
        <is>
          <t>Morning</t>
        </is>
      </c>
      <c r="G40" s="37" t="inlineStr">
        <is>
          <t>Sunflower</t>
        </is>
      </c>
      <c r="H40" s="37" t="inlineStr">
        <is>
          <t>Post Malone</t>
        </is>
      </c>
      <c r="I40" s="37" t="inlineStr">
        <is>
          <t>Spider-Man: Into the Spider-Verse</t>
        </is>
      </c>
      <c r="J40" s="37" t="inlineStr">
        <is>
          <t>Hip-Hop</t>
        </is>
      </c>
      <c r="K40" s="37" t="inlineStr">
        <is>
          <t>English</t>
        </is>
      </c>
      <c r="L40" s="37" t="n">
        <v>2309</v>
      </c>
      <c r="M40" s="37" t="n">
        <v>5</v>
      </c>
      <c r="N40" s="37" t="n">
        <v>9077.799999999999</v>
      </c>
      <c r="O40" s="37" t="inlineStr">
        <is>
          <t>Android</t>
        </is>
      </c>
    </row>
    <row r="41">
      <c r="A41" s="32" t="n">
        <v>40</v>
      </c>
      <c r="B41" s="33" t="n">
        <v>45962</v>
      </c>
      <c r="C41" s="34" t="inlineStr">
        <is>
          <t>November</t>
        </is>
      </c>
      <c r="D41" s="34" t="inlineStr">
        <is>
          <t>Saturday</t>
        </is>
      </c>
      <c r="E41" s="34" t="n">
        <v>7</v>
      </c>
      <c r="F41" s="34" t="inlineStr">
        <is>
          <t>Morning</t>
        </is>
      </c>
      <c r="G41" s="34" t="inlineStr">
        <is>
          <t>Ve Kamleya</t>
        </is>
      </c>
      <c r="H41" s="34" t="inlineStr">
        <is>
          <t>Arijit Singh</t>
        </is>
      </c>
      <c r="I41" s="34" t="inlineStr">
        <is>
          <t>Rocky Aur Rani Kii Prem Kahaani</t>
        </is>
      </c>
      <c r="J41" s="34" t="inlineStr">
        <is>
          <t>Bollywood</t>
        </is>
      </c>
      <c r="K41" s="34" t="inlineStr">
        <is>
          <t>Hindi</t>
        </is>
      </c>
      <c r="L41" s="34" t="n">
        <v>528</v>
      </c>
      <c r="M41" s="34" t="n">
        <v>3</v>
      </c>
      <c r="N41" s="34" t="n">
        <v>1706.1</v>
      </c>
      <c r="O41" s="34" t="inlineStr">
        <is>
          <t>iOS</t>
        </is>
      </c>
    </row>
    <row r="42">
      <c r="A42" s="35" t="n">
        <v>41</v>
      </c>
      <c r="B42" s="36" t="n">
        <v>45699</v>
      </c>
      <c r="C42" s="37" t="inlineStr">
        <is>
          <t>February</t>
        </is>
      </c>
      <c r="D42" s="37" t="inlineStr">
        <is>
          <t>Tuesday</t>
        </is>
      </c>
      <c r="E42" s="37" t="n">
        <v>14</v>
      </c>
      <c r="F42" s="37" t="inlineStr">
        <is>
          <t>Afternoon</t>
        </is>
      </c>
      <c r="G42" s="37" t="inlineStr">
        <is>
          <t>Stay</t>
        </is>
      </c>
      <c r="H42" s="37" t="inlineStr">
        <is>
          <t>Justin Bieber</t>
        </is>
      </c>
      <c r="I42" s="37" t="inlineStr">
        <is>
          <t>Justice</t>
        </is>
      </c>
      <c r="J42" s="37" t="inlineStr">
        <is>
          <t>Pop</t>
        </is>
      </c>
      <c r="K42" s="37" t="inlineStr">
        <is>
          <t>English</t>
        </is>
      </c>
      <c r="L42" s="37" t="n">
        <v>1967</v>
      </c>
      <c r="M42" s="37" t="n">
        <v>5</v>
      </c>
      <c r="N42" s="37" t="n">
        <v>9208.700000000001</v>
      </c>
      <c r="O42" s="37" t="inlineStr">
        <is>
          <t>Web Player</t>
        </is>
      </c>
    </row>
    <row r="43">
      <c r="A43" s="32" t="n">
        <v>42</v>
      </c>
      <c r="B43" s="33" t="n">
        <v>46000</v>
      </c>
      <c r="C43" s="34" t="inlineStr">
        <is>
          <t>December</t>
        </is>
      </c>
      <c r="D43" s="34" t="inlineStr">
        <is>
          <t>Tuesday</t>
        </is>
      </c>
      <c r="E43" s="34" t="n">
        <v>15</v>
      </c>
      <c r="F43" s="34" t="inlineStr">
        <is>
          <t>Afternoon</t>
        </is>
      </c>
      <c r="G43" s="34" t="inlineStr">
        <is>
          <t>Manwa Laage</t>
        </is>
      </c>
      <c r="H43" s="34" t="inlineStr">
        <is>
          <t>Shreya Ghoshal</t>
        </is>
      </c>
      <c r="I43" s="34" t="inlineStr">
        <is>
          <t>Happy New Year</t>
        </is>
      </c>
      <c r="J43" s="34" t="inlineStr">
        <is>
          <t>Bollywood</t>
        </is>
      </c>
      <c r="K43" s="34" t="inlineStr">
        <is>
          <t>Hindi</t>
        </is>
      </c>
      <c r="L43" s="34" t="n">
        <v>1536</v>
      </c>
      <c r="M43" s="34" t="n">
        <v>3</v>
      </c>
      <c r="N43" s="34" t="n">
        <v>4767.2</v>
      </c>
      <c r="O43" s="34" t="inlineStr">
        <is>
          <t>iOS</t>
        </is>
      </c>
    </row>
    <row r="44">
      <c r="A44" s="35" t="n">
        <v>43</v>
      </c>
      <c r="B44" s="36" t="n">
        <v>45819</v>
      </c>
      <c r="C44" s="37" t="inlineStr">
        <is>
          <t>June</t>
        </is>
      </c>
      <c r="D44" s="37" t="inlineStr">
        <is>
          <t>Wednesday</t>
        </is>
      </c>
      <c r="E44" s="37" t="n">
        <v>8</v>
      </c>
      <c r="F44" s="37" t="inlineStr">
        <is>
          <t>Morning</t>
        </is>
      </c>
      <c r="G44" s="37" t="inlineStr">
        <is>
          <t>Tauba Tauba</t>
        </is>
      </c>
      <c r="H44" s="37" t="inlineStr">
        <is>
          <t>Karan Aujla</t>
        </is>
      </c>
      <c r="I44" s="37" t="inlineStr">
        <is>
          <t>Bad Newz</t>
        </is>
      </c>
      <c r="J44" s="37" t="inlineStr">
        <is>
          <t>Bollywood</t>
        </is>
      </c>
      <c r="K44" s="37" t="inlineStr">
        <is>
          <t>Punjabi</t>
        </is>
      </c>
      <c r="L44" s="37" t="n">
        <v>547</v>
      </c>
      <c r="M44" s="37" t="n">
        <v>2</v>
      </c>
      <c r="N44" s="37" t="n">
        <v>1354.1</v>
      </c>
      <c r="O44" s="37" t="inlineStr">
        <is>
          <t>Android</t>
        </is>
      </c>
    </row>
    <row r="45">
      <c r="A45" s="32" t="n">
        <v>44</v>
      </c>
      <c r="B45" s="33" t="n">
        <v>45767</v>
      </c>
      <c r="C45" s="34" t="inlineStr">
        <is>
          <t>April</t>
        </is>
      </c>
      <c r="D45" s="34" t="inlineStr">
        <is>
          <t>Sunday</t>
        </is>
      </c>
      <c r="E45" s="34" t="n">
        <v>8</v>
      </c>
      <c r="F45" s="34" t="inlineStr">
        <is>
          <t>Morning</t>
        </is>
      </c>
      <c r="G45" s="34" t="inlineStr">
        <is>
          <t>Shape of You</t>
        </is>
      </c>
      <c r="H45" s="34" t="inlineStr">
        <is>
          <t>Ed Sheeran</t>
        </is>
      </c>
      <c r="I45" s="34" t="inlineStr">
        <is>
          <t>Divide</t>
        </is>
      </c>
      <c r="J45" s="34" t="inlineStr">
        <is>
          <t>Pop</t>
        </is>
      </c>
      <c r="K45" s="34" t="inlineStr">
        <is>
          <t>English</t>
        </is>
      </c>
      <c r="L45" s="34" t="n">
        <v>2322</v>
      </c>
      <c r="M45" s="34" t="n">
        <v>4</v>
      </c>
      <c r="N45" s="34" t="n">
        <v>7065.6</v>
      </c>
      <c r="O45" s="34" t="inlineStr">
        <is>
          <t>Web Player</t>
        </is>
      </c>
    </row>
    <row r="46">
      <c r="A46" s="35" t="n">
        <v>45</v>
      </c>
      <c r="B46" s="36" t="n">
        <v>45847</v>
      </c>
      <c r="C46" s="37" t="inlineStr">
        <is>
          <t>July</t>
        </is>
      </c>
      <c r="D46" s="37" t="inlineStr">
        <is>
          <t>Wednesday</t>
        </is>
      </c>
      <c r="E46" s="37" t="n">
        <v>22</v>
      </c>
      <c r="F46" s="37" t="inlineStr">
        <is>
          <t>Night</t>
        </is>
      </c>
      <c r="G46" s="37" t="inlineStr">
        <is>
          <t>Raataan Lambiyan</t>
        </is>
      </c>
      <c r="H46" s="37" t="inlineStr">
        <is>
          <t>Jubin Nautiyal</t>
        </is>
      </c>
      <c r="I46" s="37" t="inlineStr">
        <is>
          <t>Shershaah</t>
        </is>
      </c>
      <c r="J46" s="37" t="inlineStr">
        <is>
          <t>Bollywood</t>
        </is>
      </c>
      <c r="K46" s="37" t="inlineStr">
        <is>
          <t>Hindi</t>
        </is>
      </c>
      <c r="L46" s="37" t="n">
        <v>1417</v>
      </c>
      <c r="M46" s="37" t="n">
        <v>3</v>
      </c>
      <c r="N46" s="37" t="n">
        <v>4234.3</v>
      </c>
      <c r="O46" s="37" t="inlineStr">
        <is>
          <t>Web Player</t>
        </is>
      </c>
    </row>
    <row r="47">
      <c r="A47" s="32" t="n">
        <v>46</v>
      </c>
      <c r="B47" s="33" t="n">
        <v>45999</v>
      </c>
      <c r="C47" s="34" t="inlineStr">
        <is>
          <t>December</t>
        </is>
      </c>
      <c r="D47" s="34" t="inlineStr">
        <is>
          <t>Monday</t>
        </is>
      </c>
      <c r="E47" s="34" t="n">
        <v>10</v>
      </c>
      <c r="F47" s="34" t="inlineStr">
        <is>
          <t>Morning</t>
        </is>
      </c>
      <c r="G47" s="34" t="inlineStr">
        <is>
          <t>Teri Baaton Mein Aisa Uljha Jiya</t>
        </is>
      </c>
      <c r="H47" s="34" t="inlineStr">
        <is>
          <t>Arijit Singh</t>
        </is>
      </c>
      <c r="I47" s="34" t="inlineStr">
        <is>
          <t>Teri Baaton Mein Aisa Uljha Jiya</t>
        </is>
      </c>
      <c r="J47" s="34" t="inlineStr">
        <is>
          <t>Bollywood</t>
        </is>
      </c>
      <c r="K47" s="34" t="inlineStr">
        <is>
          <t>Hindi</t>
        </is>
      </c>
      <c r="L47" s="34" t="n">
        <v>2521</v>
      </c>
      <c r="M47" s="34" t="n">
        <v>4</v>
      </c>
      <c r="N47" s="34" t="n">
        <v>10148.1</v>
      </c>
      <c r="O47" s="34" t="inlineStr">
        <is>
          <t>Android</t>
        </is>
      </c>
    </row>
    <row r="48">
      <c r="A48" s="35" t="n">
        <v>47</v>
      </c>
      <c r="B48" s="36" t="n">
        <v>45717</v>
      </c>
      <c r="C48" s="37" t="inlineStr">
        <is>
          <t>March</t>
        </is>
      </c>
      <c r="D48" s="37" t="inlineStr">
        <is>
          <t>Saturday</t>
        </is>
      </c>
      <c r="E48" s="37" t="n">
        <v>12</v>
      </c>
      <c r="F48" s="37" t="inlineStr">
        <is>
          <t>Afternoon</t>
        </is>
      </c>
      <c r="G48" s="37" t="inlineStr">
        <is>
          <t>Lut Gaye</t>
        </is>
      </c>
      <c r="H48" s="37" t="inlineStr">
        <is>
          <t>Jubin Nautiyal</t>
        </is>
      </c>
      <c r="I48" s="37" t="inlineStr">
        <is>
          <t>Lut Gaye</t>
        </is>
      </c>
      <c r="J48" s="37" t="inlineStr">
        <is>
          <t>Bollywood</t>
        </is>
      </c>
      <c r="K48" s="37" t="inlineStr">
        <is>
          <t>Hindi</t>
        </is>
      </c>
      <c r="L48" s="37" t="n">
        <v>688</v>
      </c>
      <c r="M48" s="37" t="n">
        <v>5</v>
      </c>
      <c r="N48" s="37" t="n">
        <v>2755.3</v>
      </c>
      <c r="O48" s="37" t="inlineStr">
        <is>
          <t>Web Player</t>
        </is>
      </c>
    </row>
    <row r="49">
      <c r="A49" s="32" t="n">
        <v>48</v>
      </c>
      <c r="B49" s="33" t="n">
        <v>45762</v>
      </c>
      <c r="C49" s="34" t="inlineStr">
        <is>
          <t>April</t>
        </is>
      </c>
      <c r="D49" s="34" t="inlineStr">
        <is>
          <t>Tuesday</t>
        </is>
      </c>
      <c r="E49" s="34" t="n">
        <v>7</v>
      </c>
      <c r="F49" s="34" t="inlineStr">
        <is>
          <t>Morning</t>
        </is>
      </c>
      <c r="G49" s="34" t="inlineStr">
        <is>
          <t>Gul</t>
        </is>
      </c>
      <c r="H49" s="34" t="inlineStr">
        <is>
          <t>Anuv Jain</t>
        </is>
      </c>
      <c r="I49" s="34" t="inlineStr">
        <is>
          <t>Gul</t>
        </is>
      </c>
      <c r="J49" s="34" t="inlineStr">
        <is>
          <t>Indie</t>
        </is>
      </c>
      <c r="K49" s="34" t="inlineStr">
        <is>
          <t>Hindi</t>
        </is>
      </c>
      <c r="L49" s="34" t="n">
        <v>2847</v>
      </c>
      <c r="M49" s="34" t="n">
        <v>4</v>
      </c>
      <c r="N49" s="34" t="n">
        <v>9776.6</v>
      </c>
      <c r="O49" s="34" t="inlineStr">
        <is>
          <t>Web Player</t>
        </is>
      </c>
    </row>
    <row r="50">
      <c r="A50" s="35" t="n">
        <v>49</v>
      </c>
      <c r="B50" s="36" t="n">
        <v>45982</v>
      </c>
      <c r="C50" s="37" t="inlineStr">
        <is>
          <t>November</t>
        </is>
      </c>
      <c r="D50" s="37" t="inlineStr">
        <is>
          <t>Friday</t>
        </is>
      </c>
      <c r="E50" s="37" t="n">
        <v>10</v>
      </c>
      <c r="F50" s="37" t="inlineStr">
        <is>
          <t>Morning</t>
        </is>
      </c>
      <c r="G50" s="37" t="inlineStr">
        <is>
          <t>Agar Tum Saath Ho</t>
        </is>
      </c>
      <c r="H50" s="37" t="inlineStr">
        <is>
          <t>Arijit Singh</t>
        </is>
      </c>
      <c r="I50" s="37" t="inlineStr">
        <is>
          <t>Tamasha</t>
        </is>
      </c>
      <c r="J50" s="37" t="inlineStr">
        <is>
          <t>Bollywood</t>
        </is>
      </c>
      <c r="K50" s="37" t="inlineStr">
        <is>
          <t>Hindi</t>
        </is>
      </c>
      <c r="L50" s="37" t="n">
        <v>1984</v>
      </c>
      <c r="M50" s="37" t="n">
        <v>4</v>
      </c>
      <c r="N50" s="37" t="n">
        <v>5925.8</v>
      </c>
      <c r="O50" s="37" t="inlineStr">
        <is>
          <t>Web Player</t>
        </is>
      </c>
    </row>
    <row r="51">
      <c r="A51" s="32" t="n">
        <v>50</v>
      </c>
      <c r="B51" s="33" t="n">
        <v>45792</v>
      </c>
      <c r="C51" s="34" t="inlineStr">
        <is>
          <t>May</t>
        </is>
      </c>
      <c r="D51" s="34" t="inlineStr">
        <is>
          <t>Thursday</t>
        </is>
      </c>
      <c r="E51" s="34" t="n">
        <v>23</v>
      </c>
      <c r="F51" s="34" t="inlineStr">
        <is>
          <t>Night</t>
        </is>
      </c>
      <c r="G51" s="34" t="inlineStr">
        <is>
          <t>Love Yourself</t>
        </is>
      </c>
      <c r="H51" s="34" t="inlineStr">
        <is>
          <t>Justin Bieber</t>
        </is>
      </c>
      <c r="I51" s="34" t="inlineStr">
        <is>
          <t>Purpose</t>
        </is>
      </c>
      <c r="J51" s="34" t="inlineStr">
        <is>
          <t>Pop</t>
        </is>
      </c>
      <c r="K51" s="34" t="inlineStr">
        <is>
          <t>English</t>
        </is>
      </c>
      <c r="L51" s="34" t="n">
        <v>911</v>
      </c>
      <c r="M51" s="34" t="n">
        <v>4</v>
      </c>
      <c r="N51" s="34" t="n">
        <v>3775.6</v>
      </c>
      <c r="O51" s="34" t="inlineStr">
        <is>
          <t>Desktop</t>
        </is>
      </c>
    </row>
    <row r="52">
      <c r="A52" s="35" t="n">
        <v>51</v>
      </c>
      <c r="B52" s="36" t="n">
        <v>45715</v>
      </c>
      <c r="C52" s="37" t="inlineStr">
        <is>
          <t>February</t>
        </is>
      </c>
      <c r="D52" s="37" t="inlineStr">
        <is>
          <t>Thursday</t>
        </is>
      </c>
      <c r="E52" s="37" t="n">
        <v>23</v>
      </c>
      <c r="F52" s="37" t="inlineStr">
        <is>
          <t>Night</t>
        </is>
      </c>
      <c r="G52" s="37" t="inlineStr">
        <is>
          <t>Teri Baaton Mein Aisa Uljha Jiya</t>
        </is>
      </c>
      <c r="H52" s="37" t="inlineStr">
        <is>
          <t>Arijit Singh</t>
        </is>
      </c>
      <c r="I52" s="37" t="inlineStr">
        <is>
          <t>Teri Baaton Mein Aisa Uljha Jiya</t>
        </is>
      </c>
      <c r="J52" s="37" t="inlineStr">
        <is>
          <t>Bollywood</t>
        </is>
      </c>
      <c r="K52" s="37" t="inlineStr">
        <is>
          <t>Hindi</t>
        </is>
      </c>
      <c r="L52" s="37" t="n">
        <v>558</v>
      </c>
      <c r="M52" s="37" t="n">
        <v>3</v>
      </c>
      <c r="N52" s="37" t="n">
        <v>1707.2</v>
      </c>
      <c r="O52" s="37" t="inlineStr">
        <is>
          <t>Web Player</t>
        </is>
      </c>
    </row>
    <row r="53">
      <c r="A53" s="32" t="n">
        <v>52</v>
      </c>
      <c r="B53" s="33" t="n">
        <v>45878</v>
      </c>
      <c r="C53" s="34" t="inlineStr">
        <is>
          <t>August</t>
        </is>
      </c>
      <c r="D53" s="34" t="inlineStr">
        <is>
          <t>Saturday</t>
        </is>
      </c>
      <c r="E53" s="34" t="n">
        <v>17</v>
      </c>
      <c r="F53" s="34" t="inlineStr">
        <is>
          <t>Evening</t>
        </is>
      </c>
      <c r="G53" s="34" t="inlineStr">
        <is>
          <t>O Maahi</t>
        </is>
      </c>
      <c r="H53" s="34" t="inlineStr">
        <is>
          <t>Arijit Singh</t>
        </is>
      </c>
      <c r="I53" s="34" t="inlineStr">
        <is>
          <t>Dunki</t>
        </is>
      </c>
      <c r="J53" s="34" t="inlineStr">
        <is>
          <t>Bollywood</t>
        </is>
      </c>
      <c r="K53" s="34" t="inlineStr">
        <is>
          <t>Hindi</t>
        </is>
      </c>
      <c r="L53" s="34" t="n">
        <v>772</v>
      </c>
      <c r="M53" s="34" t="n">
        <v>3</v>
      </c>
      <c r="N53" s="34" t="n">
        <v>1904.6</v>
      </c>
      <c r="O53" s="34" t="inlineStr">
        <is>
          <t>Android</t>
        </is>
      </c>
    </row>
    <row r="54">
      <c r="A54" s="35" t="n">
        <v>53</v>
      </c>
      <c r="B54" s="36" t="n">
        <v>46007</v>
      </c>
      <c r="C54" s="37" t="inlineStr">
        <is>
          <t>December</t>
        </is>
      </c>
      <c r="D54" s="37" t="inlineStr">
        <is>
          <t>Tuesday</t>
        </is>
      </c>
      <c r="E54" s="37" t="n">
        <v>10</v>
      </c>
      <c r="F54" s="37" t="inlineStr">
        <is>
          <t>Morning</t>
        </is>
      </c>
      <c r="G54" s="37" t="inlineStr">
        <is>
          <t>Manwa Laage</t>
        </is>
      </c>
      <c r="H54" s="37" t="inlineStr">
        <is>
          <t>Shreya Ghoshal</t>
        </is>
      </c>
      <c r="I54" s="37" t="inlineStr">
        <is>
          <t>Happy New Year</t>
        </is>
      </c>
      <c r="J54" s="37" t="inlineStr">
        <is>
          <t>Bollywood</t>
        </is>
      </c>
      <c r="K54" s="37" t="inlineStr">
        <is>
          <t>Hindi</t>
        </is>
      </c>
      <c r="L54" s="37" t="n">
        <v>1272</v>
      </c>
      <c r="M54" s="37" t="n">
        <v>3</v>
      </c>
      <c r="N54" s="37" t="n">
        <v>3459.9</v>
      </c>
      <c r="O54" s="37" t="inlineStr">
        <is>
          <t>Desktop</t>
        </is>
      </c>
    </row>
    <row r="55">
      <c r="A55" s="32" t="n">
        <v>54</v>
      </c>
      <c r="B55" s="33" t="n">
        <v>45741</v>
      </c>
      <c r="C55" s="34" t="inlineStr">
        <is>
          <t>March</t>
        </is>
      </c>
      <c r="D55" s="34" t="inlineStr">
        <is>
          <t>Tuesday</t>
        </is>
      </c>
      <c r="E55" s="34" t="n">
        <v>19</v>
      </c>
      <c r="F55" s="34" t="inlineStr">
        <is>
          <t>Evening</t>
        </is>
      </c>
      <c r="G55" s="34" t="inlineStr">
        <is>
          <t>Raataan Lambiyan</t>
        </is>
      </c>
      <c r="H55" s="34" t="inlineStr">
        <is>
          <t>Jubin Nautiyal</t>
        </is>
      </c>
      <c r="I55" s="34" t="inlineStr">
        <is>
          <t>Shershaah</t>
        </is>
      </c>
      <c r="J55" s="34" t="inlineStr">
        <is>
          <t>Bollywood</t>
        </is>
      </c>
      <c r="K55" s="34" t="inlineStr">
        <is>
          <t>Hindi</t>
        </is>
      </c>
      <c r="L55" s="34" t="n">
        <v>975</v>
      </c>
      <c r="M55" s="34" t="n">
        <v>4</v>
      </c>
      <c r="N55" s="34" t="n">
        <v>3305.3</v>
      </c>
      <c r="O55" s="34" t="inlineStr">
        <is>
          <t>Web Player</t>
        </is>
      </c>
    </row>
    <row r="56">
      <c r="A56" s="35" t="n">
        <v>55</v>
      </c>
      <c r="B56" s="36" t="n">
        <v>45785</v>
      </c>
      <c r="C56" s="37" t="inlineStr">
        <is>
          <t>May</t>
        </is>
      </c>
      <c r="D56" s="37" t="inlineStr">
        <is>
          <t>Thursday</t>
        </is>
      </c>
      <c r="E56" s="37" t="n">
        <v>18</v>
      </c>
      <c r="F56" s="37" t="inlineStr">
        <is>
          <t>Evening</t>
        </is>
      </c>
      <c r="G56" s="37" t="inlineStr">
        <is>
          <t>Lovely</t>
        </is>
      </c>
      <c r="H56" s="37" t="inlineStr">
        <is>
          <t>Billie Eilish</t>
        </is>
      </c>
      <c r="I56" s="37" t="inlineStr">
        <is>
          <t>13 Reasons Why</t>
        </is>
      </c>
      <c r="J56" s="37" t="inlineStr">
        <is>
          <t>Pop</t>
        </is>
      </c>
      <c r="K56" s="37" t="inlineStr">
        <is>
          <t>English</t>
        </is>
      </c>
      <c r="L56" s="37" t="n">
        <v>1342</v>
      </c>
      <c r="M56" s="37" t="n">
        <v>3</v>
      </c>
      <c r="N56" s="37" t="n">
        <v>4446.8</v>
      </c>
      <c r="O56" s="37" t="inlineStr">
        <is>
          <t>Android</t>
        </is>
      </c>
    </row>
    <row r="57">
      <c r="A57" s="32" t="n">
        <v>56</v>
      </c>
      <c r="B57" s="33" t="n">
        <v>45898</v>
      </c>
      <c r="C57" s="34" t="inlineStr">
        <is>
          <t>August</t>
        </is>
      </c>
      <c r="D57" s="34" t="inlineStr">
        <is>
          <t>Friday</t>
        </is>
      </c>
      <c r="E57" s="34" t="n">
        <v>17</v>
      </c>
      <c r="F57" s="34" t="inlineStr">
        <is>
          <t>Evening</t>
        </is>
      </c>
      <c r="G57" s="34" t="inlineStr">
        <is>
          <t>Kesariya</t>
        </is>
      </c>
      <c r="H57" s="34" t="inlineStr">
        <is>
          <t>Arijit Singh</t>
        </is>
      </c>
      <c r="I57" s="34" t="inlineStr">
        <is>
          <t>Brahmastra</t>
        </is>
      </c>
      <c r="J57" s="34" t="inlineStr">
        <is>
          <t>Bollywood</t>
        </is>
      </c>
      <c r="K57" s="34" t="inlineStr">
        <is>
          <t>Hindi</t>
        </is>
      </c>
      <c r="L57" s="34" t="n">
        <v>1161</v>
      </c>
      <c r="M57" s="34" t="n">
        <v>3</v>
      </c>
      <c r="N57" s="34" t="n">
        <v>4077.1</v>
      </c>
      <c r="O57" s="34" t="inlineStr">
        <is>
          <t>Desktop</t>
        </is>
      </c>
    </row>
    <row r="58">
      <c r="A58" s="35" t="n">
        <v>57</v>
      </c>
      <c r="B58" s="36" t="n">
        <v>45774</v>
      </c>
      <c r="C58" s="37" t="inlineStr">
        <is>
          <t>April</t>
        </is>
      </c>
      <c r="D58" s="37" t="inlineStr">
        <is>
          <t>Sunday</t>
        </is>
      </c>
      <c r="E58" s="37" t="n">
        <v>16</v>
      </c>
      <c r="F58" s="37" t="inlineStr">
        <is>
          <t>Afternoon</t>
        </is>
      </c>
      <c r="G58" s="37" t="inlineStr">
        <is>
          <t>Heeriye</t>
        </is>
      </c>
      <c r="H58" s="37" t="inlineStr">
        <is>
          <t>Jasleen Royal</t>
        </is>
      </c>
      <c r="I58" s="37" t="inlineStr">
        <is>
          <t>Heeriye</t>
        </is>
      </c>
      <c r="J58" s="37" t="inlineStr">
        <is>
          <t>Bollywood</t>
        </is>
      </c>
      <c r="K58" s="37" t="inlineStr">
        <is>
          <t>Hindi</t>
        </is>
      </c>
      <c r="L58" s="37" t="n">
        <v>1163</v>
      </c>
      <c r="M58" s="37" t="n">
        <v>3</v>
      </c>
      <c r="N58" s="37" t="n">
        <v>3128.1</v>
      </c>
      <c r="O58" s="37" t="inlineStr">
        <is>
          <t>Desktop</t>
        </is>
      </c>
    </row>
    <row r="59">
      <c r="A59" s="32" t="n">
        <v>58</v>
      </c>
      <c r="B59" s="33" t="n">
        <v>45693</v>
      </c>
      <c r="C59" s="34" t="inlineStr">
        <is>
          <t>February</t>
        </is>
      </c>
      <c r="D59" s="34" t="inlineStr">
        <is>
          <t>Wednesday</t>
        </is>
      </c>
      <c r="E59" s="34" t="n">
        <v>23</v>
      </c>
      <c r="F59" s="34" t="inlineStr">
        <is>
          <t>Night</t>
        </is>
      </c>
      <c r="G59" s="34" t="inlineStr">
        <is>
          <t>Humnava Mere</t>
        </is>
      </c>
      <c r="H59" s="34" t="inlineStr">
        <is>
          <t>Jubin Nautiyal</t>
        </is>
      </c>
      <c r="I59" s="34" t="inlineStr">
        <is>
          <t>Humnava Mere</t>
        </is>
      </c>
      <c r="J59" s="34" t="inlineStr">
        <is>
          <t>Bollywood</t>
        </is>
      </c>
      <c r="K59" s="34" t="inlineStr">
        <is>
          <t>Hindi</t>
        </is>
      </c>
      <c r="L59" s="34" t="n">
        <v>1393</v>
      </c>
      <c r="M59" s="34" t="n">
        <v>4</v>
      </c>
      <c r="N59" s="34" t="n">
        <v>5435.3</v>
      </c>
      <c r="O59" s="34" t="inlineStr">
        <is>
          <t>Desktop</t>
        </is>
      </c>
    </row>
    <row r="60">
      <c r="A60" s="35" t="n">
        <v>59</v>
      </c>
      <c r="B60" s="36" t="n">
        <v>45672</v>
      </c>
      <c r="C60" s="37" t="inlineStr">
        <is>
          <t>January</t>
        </is>
      </c>
      <c r="D60" s="37" t="inlineStr">
        <is>
          <t>Wednesday</t>
        </is>
      </c>
      <c r="E60" s="37" t="n">
        <v>7</v>
      </c>
      <c r="F60" s="37" t="inlineStr">
        <is>
          <t>Morning</t>
        </is>
      </c>
      <c r="G60" s="37" t="inlineStr">
        <is>
          <t>Gul</t>
        </is>
      </c>
      <c r="H60" s="37" t="inlineStr">
        <is>
          <t>Anuv Jain</t>
        </is>
      </c>
      <c r="I60" s="37" t="inlineStr">
        <is>
          <t>Gul</t>
        </is>
      </c>
      <c r="J60" s="37" t="inlineStr">
        <is>
          <t>Indie</t>
        </is>
      </c>
      <c r="K60" s="37" t="inlineStr">
        <is>
          <t>Hindi</t>
        </is>
      </c>
      <c r="L60" s="37" t="n">
        <v>722</v>
      </c>
      <c r="M60" s="37" t="n">
        <v>4</v>
      </c>
      <c r="N60" s="37" t="n">
        <v>2222.7</v>
      </c>
      <c r="O60" s="37" t="inlineStr">
        <is>
          <t>Web Player</t>
        </is>
      </c>
    </row>
    <row r="61">
      <c r="A61" s="32" t="n">
        <v>60</v>
      </c>
      <c r="B61" s="33" t="n">
        <v>45963</v>
      </c>
      <c r="C61" s="34" t="inlineStr">
        <is>
          <t>November</t>
        </is>
      </c>
      <c r="D61" s="34" t="inlineStr">
        <is>
          <t>Sunday</t>
        </is>
      </c>
      <c r="E61" s="34" t="n">
        <v>19</v>
      </c>
      <c r="F61" s="34" t="inlineStr">
        <is>
          <t>Evening</t>
        </is>
      </c>
      <c r="G61" s="34" t="inlineStr">
        <is>
          <t>Chaleya</t>
        </is>
      </c>
      <c r="H61" s="34" t="inlineStr">
        <is>
          <t>Arijit Singh</t>
        </is>
      </c>
      <c r="I61" s="34" t="inlineStr">
        <is>
          <t>Jawan</t>
        </is>
      </c>
      <c r="J61" s="34" t="inlineStr">
        <is>
          <t>Bollywood</t>
        </is>
      </c>
      <c r="K61" s="34" t="inlineStr">
        <is>
          <t>Hindi</t>
        </is>
      </c>
      <c r="L61" s="34" t="n">
        <v>2029</v>
      </c>
      <c r="M61" s="34" t="n">
        <v>4</v>
      </c>
      <c r="N61" s="34" t="n">
        <v>8088.2</v>
      </c>
      <c r="O61" s="34" t="inlineStr">
        <is>
          <t>Web Player</t>
        </is>
      </c>
    </row>
    <row r="62">
      <c r="A62" s="35" t="n">
        <v>61</v>
      </c>
      <c r="B62" s="36" t="n">
        <v>45919</v>
      </c>
      <c r="C62" s="37" t="inlineStr">
        <is>
          <t>September</t>
        </is>
      </c>
      <c r="D62" s="37" t="inlineStr">
        <is>
          <t>Friday</t>
        </is>
      </c>
      <c r="E62" s="37" t="n">
        <v>14</v>
      </c>
      <c r="F62" s="37" t="inlineStr">
        <is>
          <t>Afternoon</t>
        </is>
      </c>
      <c r="G62" s="37" t="inlineStr">
        <is>
          <t>Circles</t>
        </is>
      </c>
      <c r="H62" s="37" t="inlineStr">
        <is>
          <t>Post Malone</t>
        </is>
      </c>
      <c r="I62" s="37" t="inlineStr">
        <is>
          <t>Hollywood's Bleeding</t>
        </is>
      </c>
      <c r="J62" s="37" t="inlineStr">
        <is>
          <t>Hip-Hop</t>
        </is>
      </c>
      <c r="K62" s="37" t="inlineStr">
        <is>
          <t>English</t>
        </is>
      </c>
      <c r="L62" s="37" t="n">
        <v>723</v>
      </c>
      <c r="M62" s="37" t="n">
        <v>4</v>
      </c>
      <c r="N62" s="37" t="n">
        <v>3137.9</v>
      </c>
      <c r="O62" s="37" t="inlineStr">
        <is>
          <t>iOS</t>
        </is>
      </c>
    </row>
    <row r="63">
      <c r="A63" s="32" t="n">
        <v>62</v>
      </c>
      <c r="B63" s="33" t="n">
        <v>46020</v>
      </c>
      <c r="C63" s="34" t="inlineStr">
        <is>
          <t>December</t>
        </is>
      </c>
      <c r="D63" s="34" t="inlineStr">
        <is>
          <t>Monday</t>
        </is>
      </c>
      <c r="E63" s="34" t="n">
        <v>17</v>
      </c>
      <c r="F63" s="34" t="inlineStr">
        <is>
          <t>Evening</t>
        </is>
      </c>
      <c r="G63" s="34" t="inlineStr">
        <is>
          <t>Kesariya</t>
        </is>
      </c>
      <c r="H63" s="34" t="inlineStr">
        <is>
          <t>Arijit Singh</t>
        </is>
      </c>
      <c r="I63" s="34" t="inlineStr">
        <is>
          <t>Brahmastra</t>
        </is>
      </c>
      <c r="J63" s="34" t="inlineStr">
        <is>
          <t>Bollywood</t>
        </is>
      </c>
      <c r="K63" s="34" t="inlineStr">
        <is>
          <t>Hindi</t>
        </is>
      </c>
      <c r="L63" s="34" t="n">
        <v>2036</v>
      </c>
      <c r="M63" s="34" t="n">
        <v>2</v>
      </c>
      <c r="N63" s="34" t="n">
        <v>5078.3</v>
      </c>
      <c r="O63" s="34" t="inlineStr">
        <is>
          <t>iOS</t>
        </is>
      </c>
    </row>
    <row r="64">
      <c r="A64" s="35" t="n">
        <v>63</v>
      </c>
      <c r="B64" s="36" t="n">
        <v>45693</v>
      </c>
      <c r="C64" s="37" t="inlineStr">
        <is>
          <t>February</t>
        </is>
      </c>
      <c r="D64" s="37" t="inlineStr">
        <is>
          <t>Wednesday</t>
        </is>
      </c>
      <c r="E64" s="37" t="n">
        <v>15</v>
      </c>
      <c r="F64" s="37" t="inlineStr">
        <is>
          <t>Afternoon</t>
        </is>
      </c>
      <c r="G64" s="37" t="inlineStr">
        <is>
          <t>Lover</t>
        </is>
      </c>
      <c r="H64" s="37" t="inlineStr">
        <is>
          <t>Diljit Dosanjh</t>
        </is>
      </c>
      <c r="I64" s="37" t="inlineStr">
        <is>
          <t>G.O.A.T.</t>
        </is>
      </c>
      <c r="J64" s="37" t="inlineStr">
        <is>
          <t>Punjabi</t>
        </is>
      </c>
      <c r="K64" s="37" t="inlineStr">
        <is>
          <t>Punjabi</t>
        </is>
      </c>
      <c r="L64" s="37" t="n">
        <v>1602</v>
      </c>
      <c r="M64" s="37" t="n">
        <v>4</v>
      </c>
      <c r="N64" s="37" t="n">
        <v>6076.5</v>
      </c>
      <c r="O64" s="37" t="inlineStr">
        <is>
          <t>Android</t>
        </is>
      </c>
    </row>
    <row r="65">
      <c r="A65" s="32" t="n">
        <v>64</v>
      </c>
      <c r="B65" s="33" t="n">
        <v>45816</v>
      </c>
      <c r="C65" s="34" t="inlineStr">
        <is>
          <t>June</t>
        </is>
      </c>
      <c r="D65" s="34" t="inlineStr">
        <is>
          <t>Sunday</t>
        </is>
      </c>
      <c r="E65" s="34" t="n">
        <v>23</v>
      </c>
      <c r="F65" s="34" t="inlineStr">
        <is>
          <t>Night</t>
        </is>
      </c>
      <c r="G65" s="34" t="inlineStr">
        <is>
          <t>Starboy</t>
        </is>
      </c>
      <c r="H65" s="34" t="inlineStr">
        <is>
          <t>The Weeknd</t>
        </is>
      </c>
      <c r="I65" s="34" t="inlineStr">
        <is>
          <t>Starboy</t>
        </is>
      </c>
      <c r="J65" s="34" t="inlineStr">
        <is>
          <t>Pop</t>
        </is>
      </c>
      <c r="K65" s="34" t="inlineStr">
        <is>
          <t>English</t>
        </is>
      </c>
      <c r="L65" s="34" t="n">
        <v>1922</v>
      </c>
      <c r="M65" s="34" t="n">
        <v>4</v>
      </c>
      <c r="N65" s="34" t="n">
        <v>6815.2</v>
      </c>
      <c r="O65" s="34" t="inlineStr">
        <is>
          <t>Web Player</t>
        </is>
      </c>
    </row>
    <row r="66">
      <c r="A66" s="35" t="n">
        <v>65</v>
      </c>
      <c r="B66" s="36" t="n">
        <v>45756</v>
      </c>
      <c r="C66" s="37" t="inlineStr">
        <is>
          <t>April</t>
        </is>
      </c>
      <c r="D66" s="37" t="inlineStr">
        <is>
          <t>Wednesday</t>
        </is>
      </c>
      <c r="E66" s="37" t="n">
        <v>15</v>
      </c>
      <c r="F66" s="37" t="inlineStr">
        <is>
          <t>Afternoon</t>
        </is>
      </c>
      <c r="G66" s="37" t="inlineStr">
        <is>
          <t>Satranga</t>
        </is>
      </c>
      <c r="H66" s="37" t="inlineStr">
        <is>
          <t>Arijit Singh</t>
        </is>
      </c>
      <c r="I66" s="37" t="inlineStr">
        <is>
          <t>Animal</t>
        </is>
      </c>
      <c r="J66" s="37" t="inlineStr">
        <is>
          <t>Bollywood</t>
        </is>
      </c>
      <c r="K66" s="37" t="inlineStr">
        <is>
          <t>Hindi</t>
        </is>
      </c>
      <c r="L66" s="37" t="n">
        <v>1972</v>
      </c>
      <c r="M66" s="37" t="n">
        <v>4</v>
      </c>
      <c r="N66" s="37" t="n">
        <v>8010.9</v>
      </c>
      <c r="O66" s="37" t="inlineStr">
        <is>
          <t>iOS</t>
        </is>
      </c>
    </row>
    <row r="67">
      <c r="A67" s="32" t="n">
        <v>66</v>
      </c>
      <c r="B67" s="33" t="n">
        <v>45938</v>
      </c>
      <c r="C67" s="34" t="inlineStr">
        <is>
          <t>October</t>
        </is>
      </c>
      <c r="D67" s="34" t="inlineStr">
        <is>
          <t>Wednesday</t>
        </is>
      </c>
      <c r="E67" s="34" t="n">
        <v>16</v>
      </c>
      <c r="F67" s="34" t="inlineStr">
        <is>
          <t>Afternoon</t>
        </is>
      </c>
      <c r="G67" s="34" t="inlineStr">
        <is>
          <t>With You</t>
        </is>
      </c>
      <c r="H67" s="34" t="inlineStr">
        <is>
          <t>AP Dhillon</t>
        </is>
      </c>
      <c r="I67" s="34" t="inlineStr">
        <is>
          <t>With You</t>
        </is>
      </c>
      <c r="J67" s="34" t="inlineStr">
        <is>
          <t>Punjabi</t>
        </is>
      </c>
      <c r="K67" s="34" t="inlineStr">
        <is>
          <t>Punjabi</t>
        </is>
      </c>
      <c r="L67" s="34" t="n">
        <v>251</v>
      </c>
      <c r="M67" s="34" t="n">
        <v>4</v>
      </c>
      <c r="N67" s="34" t="n">
        <v>837.7</v>
      </c>
      <c r="O67" s="34" t="inlineStr">
        <is>
          <t>Desktop</t>
        </is>
      </c>
    </row>
    <row r="68">
      <c r="A68" s="35" t="n">
        <v>67</v>
      </c>
      <c r="B68" s="36" t="n">
        <v>45884</v>
      </c>
      <c r="C68" s="37" t="inlineStr">
        <is>
          <t>August</t>
        </is>
      </c>
      <c r="D68" s="37" t="inlineStr">
        <is>
          <t>Friday</t>
        </is>
      </c>
      <c r="E68" s="37" t="n">
        <v>8</v>
      </c>
      <c r="F68" s="37" t="inlineStr">
        <is>
          <t>Morning</t>
        </is>
      </c>
      <c r="G68" s="37" t="inlineStr">
        <is>
          <t>Tauba Tauba</t>
        </is>
      </c>
      <c r="H68" s="37" t="inlineStr">
        <is>
          <t>Karan Aujla</t>
        </is>
      </c>
      <c r="I68" s="37" t="inlineStr">
        <is>
          <t>Bad Newz</t>
        </is>
      </c>
      <c r="J68" s="37" t="inlineStr">
        <is>
          <t>Bollywood</t>
        </is>
      </c>
      <c r="K68" s="37" t="inlineStr">
        <is>
          <t>Punjabi</t>
        </is>
      </c>
      <c r="L68" s="37" t="n">
        <v>2061</v>
      </c>
      <c r="M68" s="37" t="n">
        <v>3</v>
      </c>
      <c r="N68" s="37" t="n">
        <v>6709.1</v>
      </c>
      <c r="O68" s="37" t="inlineStr">
        <is>
          <t>iOS</t>
        </is>
      </c>
    </row>
    <row r="69">
      <c r="A69" s="32" t="n">
        <v>68</v>
      </c>
      <c r="B69" s="33" t="n">
        <v>45921</v>
      </c>
      <c r="C69" s="34" t="inlineStr">
        <is>
          <t>September</t>
        </is>
      </c>
      <c r="D69" s="34" t="inlineStr">
        <is>
          <t>Sunday</t>
        </is>
      </c>
      <c r="E69" s="34" t="n">
        <v>15</v>
      </c>
      <c r="F69" s="34" t="inlineStr">
        <is>
          <t>Afternoon</t>
        </is>
      </c>
      <c r="G69" s="34" t="inlineStr">
        <is>
          <t>Maan Meri Jaan</t>
        </is>
      </c>
      <c r="H69" s="34" t="inlineStr">
        <is>
          <t>King</t>
        </is>
      </c>
      <c r="I69" s="34" t="inlineStr">
        <is>
          <t>Champagne Talk</t>
        </is>
      </c>
      <c r="J69" s="34" t="inlineStr">
        <is>
          <t>Bollywood</t>
        </is>
      </c>
      <c r="K69" s="34" t="inlineStr">
        <is>
          <t>Hindi</t>
        </is>
      </c>
      <c r="L69" s="34" t="n">
        <v>2842</v>
      </c>
      <c r="M69" s="34" t="n">
        <v>4</v>
      </c>
      <c r="N69" s="34" t="n">
        <v>9166.1</v>
      </c>
      <c r="O69" s="34" t="inlineStr">
        <is>
          <t>iOS</t>
        </is>
      </c>
    </row>
    <row r="70">
      <c r="A70" s="35" t="n">
        <v>69</v>
      </c>
      <c r="B70" s="36" t="n">
        <v>45759</v>
      </c>
      <c r="C70" s="37" t="inlineStr">
        <is>
          <t>April</t>
        </is>
      </c>
      <c r="D70" s="37" t="inlineStr">
        <is>
          <t>Saturday</t>
        </is>
      </c>
      <c r="E70" s="37" t="n">
        <v>8</v>
      </c>
      <c r="F70" s="37" t="inlineStr">
        <is>
          <t>Morning</t>
        </is>
      </c>
      <c r="G70" s="37" t="inlineStr">
        <is>
          <t>Sun Raha Hai</t>
        </is>
      </c>
      <c r="H70" s="37" t="inlineStr">
        <is>
          <t>Shreya Ghoshal</t>
        </is>
      </c>
      <c r="I70" s="37" t="inlineStr">
        <is>
          <t>Aashiqui 2</t>
        </is>
      </c>
      <c r="J70" s="37" t="inlineStr">
        <is>
          <t>Bollywood</t>
        </is>
      </c>
      <c r="K70" s="37" t="inlineStr">
        <is>
          <t>Hindi</t>
        </is>
      </c>
      <c r="L70" s="37" t="n">
        <v>853</v>
      </c>
      <c r="M70" s="37" t="n">
        <v>3</v>
      </c>
      <c r="N70" s="37" t="n">
        <v>1883.6</v>
      </c>
      <c r="O70" s="37" t="inlineStr">
        <is>
          <t>Desktop</t>
        </is>
      </c>
    </row>
    <row r="71">
      <c r="A71" s="32" t="n">
        <v>70</v>
      </c>
      <c r="B71" s="33" t="n">
        <v>45870</v>
      </c>
      <c r="C71" s="34" t="inlineStr">
        <is>
          <t>August</t>
        </is>
      </c>
      <c r="D71" s="34" t="inlineStr">
        <is>
          <t>Friday</t>
        </is>
      </c>
      <c r="E71" s="34" t="n">
        <v>21</v>
      </c>
      <c r="F71" s="34" t="inlineStr">
        <is>
          <t>Night</t>
        </is>
      </c>
      <c r="G71" s="34" t="inlineStr">
        <is>
          <t>Tauba Tauba</t>
        </is>
      </c>
      <c r="H71" s="34" t="inlineStr">
        <is>
          <t>Karan Aujla</t>
        </is>
      </c>
      <c r="I71" s="34" t="inlineStr">
        <is>
          <t>Bad Newz</t>
        </is>
      </c>
      <c r="J71" s="34" t="inlineStr">
        <is>
          <t>Bollywood</t>
        </is>
      </c>
      <c r="K71" s="34" t="inlineStr">
        <is>
          <t>Punjabi</t>
        </is>
      </c>
      <c r="L71" s="34" t="n">
        <v>2829</v>
      </c>
      <c r="M71" s="34" t="n">
        <v>5</v>
      </c>
      <c r="N71" s="34" t="n">
        <v>11698.8</v>
      </c>
      <c r="O71" s="34" t="inlineStr">
        <is>
          <t>Desktop</t>
        </is>
      </c>
    </row>
    <row r="72">
      <c r="A72" s="35" t="n">
        <v>71</v>
      </c>
      <c r="B72" s="36" t="n">
        <v>45782</v>
      </c>
      <c r="C72" s="37" t="inlineStr">
        <is>
          <t>May</t>
        </is>
      </c>
      <c r="D72" s="37" t="inlineStr">
        <is>
          <t>Monday</t>
        </is>
      </c>
      <c r="E72" s="37" t="n">
        <v>19</v>
      </c>
      <c r="F72" s="37" t="inlineStr">
        <is>
          <t>Evening</t>
        </is>
      </c>
      <c r="G72" s="37" t="inlineStr">
        <is>
          <t>With You</t>
        </is>
      </c>
      <c r="H72" s="37" t="inlineStr">
        <is>
          <t>AP Dhillon</t>
        </is>
      </c>
      <c r="I72" s="37" t="inlineStr">
        <is>
          <t>With You</t>
        </is>
      </c>
      <c r="J72" s="37" t="inlineStr">
        <is>
          <t>Punjabi</t>
        </is>
      </c>
      <c r="K72" s="37" t="inlineStr">
        <is>
          <t>Punjabi</t>
        </is>
      </c>
      <c r="L72" s="37" t="n">
        <v>854</v>
      </c>
      <c r="M72" s="37" t="n">
        <v>2</v>
      </c>
      <c r="N72" s="37" t="n">
        <v>2385.1</v>
      </c>
      <c r="O72" s="37" t="inlineStr">
        <is>
          <t>Android</t>
        </is>
      </c>
    </row>
    <row r="73">
      <c r="A73" s="32" t="n">
        <v>72</v>
      </c>
      <c r="B73" s="33" t="n">
        <v>45748</v>
      </c>
      <c r="C73" s="34" t="inlineStr">
        <is>
          <t>April</t>
        </is>
      </c>
      <c r="D73" s="34" t="inlineStr">
        <is>
          <t>Tuesday</t>
        </is>
      </c>
      <c r="E73" s="34" t="n">
        <v>9</v>
      </c>
      <c r="F73" s="34" t="inlineStr">
        <is>
          <t>Morning</t>
        </is>
      </c>
      <c r="G73" s="34" t="inlineStr">
        <is>
          <t>Sun Raha Hai</t>
        </is>
      </c>
      <c r="H73" s="34" t="inlineStr">
        <is>
          <t>Shreya Ghoshal</t>
        </is>
      </c>
      <c r="I73" s="34" t="inlineStr">
        <is>
          <t>Aashiqui 2</t>
        </is>
      </c>
      <c r="J73" s="34" t="inlineStr">
        <is>
          <t>Bollywood</t>
        </is>
      </c>
      <c r="K73" s="34" t="inlineStr">
        <is>
          <t>Hindi</t>
        </is>
      </c>
      <c r="L73" s="34" t="n">
        <v>2371</v>
      </c>
      <c r="M73" s="34" t="n">
        <v>4</v>
      </c>
      <c r="N73" s="34" t="n">
        <v>8487.6</v>
      </c>
      <c r="O73" s="34" t="inlineStr">
        <is>
          <t>iOS</t>
        </is>
      </c>
    </row>
    <row r="74">
      <c r="A74" s="35" t="n">
        <v>73</v>
      </c>
      <c r="B74" s="36" t="n">
        <v>45726</v>
      </c>
      <c r="C74" s="37" t="inlineStr">
        <is>
          <t>March</t>
        </is>
      </c>
      <c r="D74" s="37" t="inlineStr">
        <is>
          <t>Monday</t>
        </is>
      </c>
      <c r="E74" s="37" t="n">
        <v>20</v>
      </c>
      <c r="F74" s="37" t="inlineStr">
        <is>
          <t>Evening</t>
        </is>
      </c>
      <c r="G74" s="37" t="inlineStr">
        <is>
          <t>Tauba Tauba</t>
        </is>
      </c>
      <c r="H74" s="37" t="inlineStr">
        <is>
          <t>Karan Aujla</t>
        </is>
      </c>
      <c r="I74" s="37" t="inlineStr">
        <is>
          <t>Bad Newz</t>
        </is>
      </c>
      <c r="J74" s="37" t="inlineStr">
        <is>
          <t>Bollywood</t>
        </is>
      </c>
      <c r="K74" s="37" t="inlineStr">
        <is>
          <t>Punjabi</t>
        </is>
      </c>
      <c r="L74" s="37" t="n">
        <v>2153</v>
      </c>
      <c r="M74" s="37" t="n">
        <v>5</v>
      </c>
      <c r="N74" s="37" t="n">
        <v>10866.3</v>
      </c>
      <c r="O74" s="37" t="inlineStr">
        <is>
          <t>Web Player</t>
        </is>
      </c>
    </row>
    <row r="75">
      <c r="A75" s="32" t="n">
        <v>74</v>
      </c>
      <c r="B75" s="33" t="n">
        <v>45916</v>
      </c>
      <c r="C75" s="34" t="inlineStr">
        <is>
          <t>September</t>
        </is>
      </c>
      <c r="D75" s="34" t="inlineStr">
        <is>
          <t>Tuesday</t>
        </is>
      </c>
      <c r="E75" s="34" t="n">
        <v>21</v>
      </c>
      <c r="F75" s="34" t="inlineStr">
        <is>
          <t>Night</t>
        </is>
      </c>
      <c r="G75" s="34" t="inlineStr">
        <is>
          <t>Stay</t>
        </is>
      </c>
      <c r="H75" s="34" t="inlineStr">
        <is>
          <t>Justin Bieber</t>
        </is>
      </c>
      <c r="I75" s="34" t="inlineStr">
        <is>
          <t>Justice</t>
        </is>
      </c>
      <c r="J75" s="34" t="inlineStr">
        <is>
          <t>Pop</t>
        </is>
      </c>
      <c r="K75" s="34" t="inlineStr">
        <is>
          <t>English</t>
        </is>
      </c>
      <c r="L75" s="34" t="n">
        <v>1997</v>
      </c>
      <c r="M75" s="34" t="n">
        <v>5</v>
      </c>
      <c r="N75" s="34" t="n">
        <v>8764.200000000001</v>
      </c>
      <c r="O75" s="34" t="inlineStr">
        <is>
          <t>iOS</t>
        </is>
      </c>
    </row>
    <row r="76">
      <c r="A76" s="35" t="n">
        <v>75</v>
      </c>
      <c r="B76" s="36" t="n">
        <v>45790</v>
      </c>
      <c r="C76" s="37" t="inlineStr">
        <is>
          <t>May</t>
        </is>
      </c>
      <c r="D76" s="37" t="inlineStr">
        <is>
          <t>Tuesday</t>
        </is>
      </c>
      <c r="E76" s="37" t="n">
        <v>13</v>
      </c>
      <c r="F76" s="37" t="inlineStr">
        <is>
          <t>Afternoon</t>
        </is>
      </c>
      <c r="G76" s="37" t="inlineStr">
        <is>
          <t>Softly</t>
        </is>
      </c>
      <c r="H76" s="37" t="inlineStr">
        <is>
          <t>Karan Aujla</t>
        </is>
      </c>
      <c r="I76" s="37" t="inlineStr">
        <is>
          <t>Making Memories</t>
        </is>
      </c>
      <c r="J76" s="37" t="inlineStr">
        <is>
          <t>Punjabi</t>
        </is>
      </c>
      <c r="K76" s="37" t="inlineStr">
        <is>
          <t>Punjabi</t>
        </is>
      </c>
      <c r="L76" s="37" t="n">
        <v>1262</v>
      </c>
      <c r="M76" s="37" t="n">
        <v>4</v>
      </c>
      <c r="N76" s="37" t="n">
        <v>4736.3</v>
      </c>
      <c r="O76" s="37" t="inlineStr">
        <is>
          <t>Desktop</t>
        </is>
      </c>
    </row>
    <row r="77">
      <c r="A77" s="32" t="n">
        <v>76</v>
      </c>
      <c r="B77" s="33" t="n">
        <v>45883</v>
      </c>
      <c r="C77" s="34" t="inlineStr">
        <is>
          <t>August</t>
        </is>
      </c>
      <c r="D77" s="34" t="inlineStr">
        <is>
          <t>Thursday</t>
        </is>
      </c>
      <c r="E77" s="34" t="n">
        <v>16</v>
      </c>
      <c r="F77" s="34" t="inlineStr">
        <is>
          <t>Afternoon</t>
        </is>
      </c>
      <c r="G77" s="34" t="inlineStr">
        <is>
          <t>Humnava Mere</t>
        </is>
      </c>
      <c r="H77" s="34" t="inlineStr">
        <is>
          <t>Jubin Nautiyal</t>
        </is>
      </c>
      <c r="I77" s="34" t="inlineStr">
        <is>
          <t>Humnava Mere</t>
        </is>
      </c>
      <c r="J77" s="34" t="inlineStr">
        <is>
          <t>Bollywood</t>
        </is>
      </c>
      <c r="K77" s="34" t="inlineStr">
        <is>
          <t>Hindi</t>
        </is>
      </c>
      <c r="L77" s="34" t="n">
        <v>567</v>
      </c>
      <c r="M77" s="34" t="n">
        <v>4</v>
      </c>
      <c r="N77" s="34" t="n">
        <v>1830.3</v>
      </c>
      <c r="O77" s="34" t="inlineStr">
        <is>
          <t>Web Player</t>
        </is>
      </c>
    </row>
    <row r="78">
      <c r="A78" s="35" t="n">
        <v>77</v>
      </c>
      <c r="B78" s="36" t="n">
        <v>45699</v>
      </c>
      <c r="C78" s="37" t="inlineStr">
        <is>
          <t>February</t>
        </is>
      </c>
      <c r="D78" s="37" t="inlineStr">
        <is>
          <t>Tuesday</t>
        </is>
      </c>
      <c r="E78" s="37" t="n">
        <v>12</v>
      </c>
      <c r="F78" s="37" t="inlineStr">
        <is>
          <t>Afternoon</t>
        </is>
      </c>
      <c r="G78" s="37" t="inlineStr">
        <is>
          <t>Shape of You</t>
        </is>
      </c>
      <c r="H78" s="37" t="inlineStr">
        <is>
          <t>Ed Sheeran</t>
        </is>
      </c>
      <c r="I78" s="37" t="inlineStr">
        <is>
          <t>Divide</t>
        </is>
      </c>
      <c r="J78" s="37" t="inlineStr">
        <is>
          <t>Pop</t>
        </is>
      </c>
      <c r="K78" s="37" t="inlineStr">
        <is>
          <t>English</t>
        </is>
      </c>
      <c r="L78" s="37" t="n">
        <v>816</v>
      </c>
      <c r="M78" s="37" t="n">
        <v>3</v>
      </c>
      <c r="N78" s="37" t="n">
        <v>2259.9</v>
      </c>
      <c r="O78" s="37" t="inlineStr">
        <is>
          <t>iOS</t>
        </is>
      </c>
    </row>
    <row r="79">
      <c r="A79" s="32" t="n">
        <v>78</v>
      </c>
      <c r="B79" s="33" t="n">
        <v>45870</v>
      </c>
      <c r="C79" s="34" t="inlineStr">
        <is>
          <t>August</t>
        </is>
      </c>
      <c r="D79" s="34" t="inlineStr">
        <is>
          <t>Friday</t>
        </is>
      </c>
      <c r="E79" s="34" t="n">
        <v>7</v>
      </c>
      <c r="F79" s="34" t="inlineStr">
        <is>
          <t>Morning</t>
        </is>
      </c>
      <c r="G79" s="34" t="inlineStr">
        <is>
          <t>Ve Kamleya</t>
        </is>
      </c>
      <c r="H79" s="34" t="inlineStr">
        <is>
          <t>Arijit Singh</t>
        </is>
      </c>
      <c r="I79" s="34" t="inlineStr">
        <is>
          <t>Rocky Aur Rani Kii Prem Kahaani</t>
        </is>
      </c>
      <c r="J79" s="34" t="inlineStr">
        <is>
          <t>Bollywood</t>
        </is>
      </c>
      <c r="K79" s="34" t="inlineStr">
        <is>
          <t>Hindi</t>
        </is>
      </c>
      <c r="L79" s="34" t="n">
        <v>1919</v>
      </c>
      <c r="M79" s="34" t="n">
        <v>4</v>
      </c>
      <c r="N79" s="34" t="n">
        <v>7132.9</v>
      </c>
      <c r="O79" s="34" t="inlineStr">
        <is>
          <t>Desktop</t>
        </is>
      </c>
    </row>
    <row r="80">
      <c r="A80" s="35" t="n">
        <v>79</v>
      </c>
      <c r="B80" s="36" t="n">
        <v>45873</v>
      </c>
      <c r="C80" s="37" t="inlineStr">
        <is>
          <t>August</t>
        </is>
      </c>
      <c r="D80" s="37" t="inlineStr">
        <is>
          <t>Monday</t>
        </is>
      </c>
      <c r="E80" s="37" t="n">
        <v>18</v>
      </c>
      <c r="F80" s="37" t="inlineStr">
        <is>
          <t>Evening</t>
        </is>
      </c>
      <c r="G80" s="37" t="inlineStr">
        <is>
          <t>Manwa Laage</t>
        </is>
      </c>
      <c r="H80" s="37" t="inlineStr">
        <is>
          <t>Shreya Ghoshal</t>
        </is>
      </c>
      <c r="I80" s="37" t="inlineStr">
        <is>
          <t>Happy New Year</t>
        </is>
      </c>
      <c r="J80" s="37" t="inlineStr">
        <is>
          <t>Bollywood</t>
        </is>
      </c>
      <c r="K80" s="37" t="inlineStr">
        <is>
          <t>Hindi</t>
        </is>
      </c>
      <c r="L80" s="37" t="n">
        <v>1845</v>
      </c>
      <c r="M80" s="37" t="n">
        <v>5</v>
      </c>
      <c r="N80" s="37" t="n">
        <v>9624</v>
      </c>
      <c r="O80" s="37" t="inlineStr">
        <is>
          <t>Android</t>
        </is>
      </c>
    </row>
    <row r="81">
      <c r="A81" s="32" t="n">
        <v>80</v>
      </c>
      <c r="B81" s="33" t="n">
        <v>45661</v>
      </c>
      <c r="C81" s="34" t="inlineStr">
        <is>
          <t>January</t>
        </is>
      </c>
      <c r="D81" s="34" t="inlineStr">
        <is>
          <t>Saturday</t>
        </is>
      </c>
      <c r="E81" s="34" t="n">
        <v>23</v>
      </c>
      <c r="F81" s="34" t="inlineStr">
        <is>
          <t>Night</t>
        </is>
      </c>
      <c r="G81" s="34" t="inlineStr">
        <is>
          <t>After Hours</t>
        </is>
      </c>
      <c r="H81" s="34" t="inlineStr">
        <is>
          <t>The Weeknd</t>
        </is>
      </c>
      <c r="I81" s="34" t="inlineStr">
        <is>
          <t>After Hours</t>
        </is>
      </c>
      <c r="J81" s="34" t="inlineStr">
        <is>
          <t>R&amp;B</t>
        </is>
      </c>
      <c r="K81" s="34" t="inlineStr">
        <is>
          <t>English</t>
        </is>
      </c>
      <c r="L81" s="34" t="n">
        <v>1690</v>
      </c>
      <c r="M81" s="34" t="n">
        <v>4</v>
      </c>
      <c r="N81" s="34" t="n">
        <v>6475.3</v>
      </c>
      <c r="O81" s="34" t="inlineStr">
        <is>
          <t>Desktop</t>
        </is>
      </c>
    </row>
    <row r="82">
      <c r="A82" s="35" t="n">
        <v>81</v>
      </c>
      <c r="B82" s="36" t="n">
        <v>45966</v>
      </c>
      <c r="C82" s="37" t="inlineStr">
        <is>
          <t>November</t>
        </is>
      </c>
      <c r="D82" s="37" t="inlineStr">
        <is>
          <t>Wednesday</t>
        </is>
      </c>
      <c r="E82" s="37" t="n">
        <v>21</v>
      </c>
      <c r="F82" s="37" t="inlineStr">
        <is>
          <t>Night</t>
        </is>
      </c>
      <c r="G82" s="37" t="inlineStr">
        <is>
          <t>Shape of You</t>
        </is>
      </c>
      <c r="H82" s="37" t="inlineStr">
        <is>
          <t>Ed Sheeran</t>
        </is>
      </c>
      <c r="I82" s="37" t="inlineStr">
        <is>
          <t>Divide</t>
        </is>
      </c>
      <c r="J82" s="37" t="inlineStr">
        <is>
          <t>Pop</t>
        </is>
      </c>
      <c r="K82" s="37" t="inlineStr">
        <is>
          <t>English</t>
        </is>
      </c>
      <c r="L82" s="37" t="n">
        <v>1153</v>
      </c>
      <c r="M82" s="37" t="n">
        <v>4</v>
      </c>
      <c r="N82" s="37" t="n">
        <v>4464.8</v>
      </c>
      <c r="O82" s="37" t="inlineStr">
        <is>
          <t>Desktop</t>
        </is>
      </c>
    </row>
    <row r="83">
      <c r="A83" s="32" t="n">
        <v>82</v>
      </c>
      <c r="B83" s="33" t="n">
        <v>45857</v>
      </c>
      <c r="C83" s="34" t="inlineStr">
        <is>
          <t>July</t>
        </is>
      </c>
      <c r="D83" s="34" t="inlineStr">
        <is>
          <t>Saturday</t>
        </is>
      </c>
      <c r="E83" s="34" t="n">
        <v>10</v>
      </c>
      <c r="F83" s="34" t="inlineStr">
        <is>
          <t>Morning</t>
        </is>
      </c>
      <c r="G83" s="34" t="inlineStr">
        <is>
          <t>Apna Bana Le</t>
        </is>
      </c>
      <c r="H83" s="34" t="inlineStr">
        <is>
          <t>Arijit Singh</t>
        </is>
      </c>
      <c r="I83" s="34" t="inlineStr">
        <is>
          <t>Bhediya</t>
        </is>
      </c>
      <c r="J83" s="34" t="inlineStr">
        <is>
          <t>Bollywood</t>
        </is>
      </c>
      <c r="K83" s="34" t="inlineStr">
        <is>
          <t>Hindi</t>
        </is>
      </c>
      <c r="L83" s="34" t="n">
        <v>1626</v>
      </c>
      <c r="M83" s="34" t="n">
        <v>4</v>
      </c>
      <c r="N83" s="34" t="n">
        <v>6842.9</v>
      </c>
      <c r="O83" s="34" t="inlineStr">
        <is>
          <t>Desktop</t>
        </is>
      </c>
    </row>
    <row r="84">
      <c r="A84" s="35" t="n">
        <v>83</v>
      </c>
      <c r="B84" s="36" t="n">
        <v>45931</v>
      </c>
      <c r="C84" s="37" t="inlineStr">
        <is>
          <t>October</t>
        </is>
      </c>
      <c r="D84" s="37" t="inlineStr">
        <is>
          <t>Wednesday</t>
        </is>
      </c>
      <c r="E84" s="37" t="n">
        <v>8</v>
      </c>
      <c r="F84" s="37" t="inlineStr">
        <is>
          <t>Morning</t>
        </is>
      </c>
      <c r="G84" s="37" t="inlineStr">
        <is>
          <t>Stay</t>
        </is>
      </c>
      <c r="H84" s="37" t="inlineStr">
        <is>
          <t>Justin Bieber</t>
        </is>
      </c>
      <c r="I84" s="37" t="inlineStr">
        <is>
          <t>Justice</t>
        </is>
      </c>
      <c r="J84" s="37" t="inlineStr">
        <is>
          <t>Pop</t>
        </is>
      </c>
      <c r="K84" s="37" t="inlineStr">
        <is>
          <t>English</t>
        </is>
      </c>
      <c r="L84" s="37" t="n">
        <v>360</v>
      </c>
      <c r="M84" s="37" t="n">
        <v>4</v>
      </c>
      <c r="N84" s="37" t="n">
        <v>1441.9</v>
      </c>
      <c r="O84" s="37" t="inlineStr">
        <is>
          <t>Android</t>
        </is>
      </c>
    </row>
    <row r="85">
      <c r="A85" s="32" t="n">
        <v>84</v>
      </c>
      <c r="B85" s="33" t="n">
        <v>45877</v>
      </c>
      <c r="C85" s="34" t="inlineStr">
        <is>
          <t>August</t>
        </is>
      </c>
      <c r="D85" s="34" t="inlineStr">
        <is>
          <t>Friday</t>
        </is>
      </c>
      <c r="E85" s="34" t="n">
        <v>18</v>
      </c>
      <c r="F85" s="34" t="inlineStr">
        <is>
          <t>Evening</t>
        </is>
      </c>
      <c r="G85" s="34" t="inlineStr">
        <is>
          <t>What Was I Made For?</t>
        </is>
      </c>
      <c r="H85" s="34" t="inlineStr">
        <is>
          <t>Billie Eilish</t>
        </is>
      </c>
      <c r="I85" s="34" t="inlineStr">
        <is>
          <t>Barbie: The Album</t>
        </is>
      </c>
      <c r="J85" s="34" t="inlineStr">
        <is>
          <t>Pop</t>
        </is>
      </c>
      <c r="K85" s="34" t="inlineStr">
        <is>
          <t>English</t>
        </is>
      </c>
      <c r="L85" s="34" t="n">
        <v>805</v>
      </c>
      <c r="M85" s="34" t="n">
        <v>4</v>
      </c>
      <c r="N85" s="34" t="n">
        <v>3016.1</v>
      </c>
      <c r="O85" s="34" t="inlineStr">
        <is>
          <t>Web Player</t>
        </is>
      </c>
    </row>
    <row r="86">
      <c r="A86" s="35" t="n">
        <v>85</v>
      </c>
      <c r="B86" s="36" t="n">
        <v>45766</v>
      </c>
      <c r="C86" s="37" t="inlineStr">
        <is>
          <t>April</t>
        </is>
      </c>
      <c r="D86" s="37" t="inlineStr">
        <is>
          <t>Saturday</t>
        </is>
      </c>
      <c r="E86" s="37" t="n">
        <v>14</v>
      </c>
      <c r="F86" s="37" t="inlineStr">
        <is>
          <t>Afternoon</t>
        </is>
      </c>
      <c r="G86" s="37" t="inlineStr">
        <is>
          <t>Husn</t>
        </is>
      </c>
      <c r="H86" s="37" t="inlineStr">
        <is>
          <t>Anuv Jain</t>
        </is>
      </c>
      <c r="I86" s="37" t="inlineStr">
        <is>
          <t>Husn</t>
        </is>
      </c>
      <c r="J86" s="37" t="inlineStr">
        <is>
          <t>Indie</t>
        </is>
      </c>
      <c r="K86" s="37" t="inlineStr">
        <is>
          <t>Hindi</t>
        </is>
      </c>
      <c r="L86" s="37" t="n">
        <v>2112</v>
      </c>
      <c r="M86" s="37" t="n">
        <v>4</v>
      </c>
      <c r="N86" s="37" t="n">
        <v>7335.7</v>
      </c>
      <c r="O86" s="37" t="inlineStr">
        <is>
          <t>Desktop</t>
        </is>
      </c>
    </row>
    <row r="87">
      <c r="A87" s="32" t="n">
        <v>86</v>
      </c>
      <c r="B87" s="33" t="n">
        <v>45787</v>
      </c>
      <c r="C87" s="34" t="inlineStr">
        <is>
          <t>May</t>
        </is>
      </c>
      <c r="D87" s="34" t="inlineStr">
        <is>
          <t>Saturday</t>
        </is>
      </c>
      <c r="E87" s="34" t="n">
        <v>17</v>
      </c>
      <c r="F87" s="34" t="inlineStr">
        <is>
          <t>Evening</t>
        </is>
      </c>
      <c r="G87" s="34" t="inlineStr">
        <is>
          <t>Born To Shine</t>
        </is>
      </c>
      <c r="H87" s="34" t="inlineStr">
        <is>
          <t>Diljit Dosanjh</t>
        </is>
      </c>
      <c r="I87" s="34" t="inlineStr">
        <is>
          <t>G.O.A.T.</t>
        </is>
      </c>
      <c r="J87" s="34" t="inlineStr">
        <is>
          <t>Punjabi</t>
        </is>
      </c>
      <c r="K87" s="34" t="inlineStr">
        <is>
          <t>Punjabi</t>
        </is>
      </c>
      <c r="L87" s="34" t="n">
        <v>585</v>
      </c>
      <c r="M87" s="34" t="n">
        <v>4</v>
      </c>
      <c r="N87" s="34" t="n">
        <v>2085.4</v>
      </c>
      <c r="O87" s="34" t="inlineStr">
        <is>
          <t>Android</t>
        </is>
      </c>
    </row>
    <row r="88">
      <c r="A88" s="35" t="n">
        <v>87</v>
      </c>
      <c r="B88" s="36" t="n">
        <v>45990</v>
      </c>
      <c r="C88" s="37" t="inlineStr">
        <is>
          <t>November</t>
        </is>
      </c>
      <c r="D88" s="37" t="inlineStr">
        <is>
          <t>Saturday</t>
        </is>
      </c>
      <c r="E88" s="37" t="n">
        <v>12</v>
      </c>
      <c r="F88" s="37" t="inlineStr">
        <is>
          <t>Afternoon</t>
        </is>
      </c>
      <c r="G88" s="37" t="inlineStr">
        <is>
          <t>Sun Raha Hai</t>
        </is>
      </c>
      <c r="H88" s="37" t="inlineStr">
        <is>
          <t>Shreya Ghoshal</t>
        </is>
      </c>
      <c r="I88" s="37" t="inlineStr">
        <is>
          <t>Aashiqui 2</t>
        </is>
      </c>
      <c r="J88" s="37" t="inlineStr">
        <is>
          <t>Bollywood</t>
        </is>
      </c>
      <c r="K88" s="37" t="inlineStr">
        <is>
          <t>Hindi</t>
        </is>
      </c>
      <c r="L88" s="37" t="n">
        <v>531</v>
      </c>
      <c r="M88" s="37" t="n">
        <v>3</v>
      </c>
      <c r="N88" s="37" t="n">
        <v>1499.9</v>
      </c>
      <c r="O88" s="37" t="inlineStr">
        <is>
          <t>iOS</t>
        </is>
      </c>
    </row>
    <row r="89">
      <c r="A89" s="32" t="n">
        <v>88</v>
      </c>
      <c r="B89" s="33" t="n">
        <v>45976</v>
      </c>
      <c r="C89" s="34" t="inlineStr">
        <is>
          <t>November</t>
        </is>
      </c>
      <c r="D89" s="34" t="inlineStr">
        <is>
          <t>Saturday</t>
        </is>
      </c>
      <c r="E89" s="34" t="n">
        <v>12</v>
      </c>
      <c r="F89" s="34" t="inlineStr">
        <is>
          <t>Afternoon</t>
        </is>
      </c>
      <c r="G89" s="34" t="inlineStr">
        <is>
          <t>Apna Bana Le</t>
        </is>
      </c>
      <c r="H89" s="34" t="inlineStr">
        <is>
          <t>Arijit Singh</t>
        </is>
      </c>
      <c r="I89" s="34" t="inlineStr">
        <is>
          <t>Bhediya</t>
        </is>
      </c>
      <c r="J89" s="34" t="inlineStr">
        <is>
          <t>Bollywood</t>
        </is>
      </c>
      <c r="K89" s="34" t="inlineStr">
        <is>
          <t>Hindi</t>
        </is>
      </c>
      <c r="L89" s="34" t="n">
        <v>874</v>
      </c>
      <c r="M89" s="34" t="n">
        <v>3</v>
      </c>
      <c r="N89" s="34" t="n">
        <v>2588</v>
      </c>
      <c r="O89" s="34" t="inlineStr">
        <is>
          <t>Android</t>
        </is>
      </c>
    </row>
    <row r="90">
      <c r="A90" s="35" t="n">
        <v>89</v>
      </c>
      <c r="B90" s="36" t="n">
        <v>46016</v>
      </c>
      <c r="C90" s="37" t="inlineStr">
        <is>
          <t>December</t>
        </is>
      </c>
      <c r="D90" s="37" t="inlineStr">
        <is>
          <t>Thursday</t>
        </is>
      </c>
      <c r="E90" s="37" t="n">
        <v>11</v>
      </c>
      <c r="F90" s="37" t="inlineStr">
        <is>
          <t>Morning</t>
        </is>
      </c>
      <c r="G90" s="37" t="inlineStr">
        <is>
          <t>Tauba Tauba</t>
        </is>
      </c>
      <c r="H90" s="37" t="inlineStr">
        <is>
          <t>Karan Aujla</t>
        </is>
      </c>
      <c r="I90" s="37" t="inlineStr">
        <is>
          <t>Bad Newz</t>
        </is>
      </c>
      <c r="J90" s="37" t="inlineStr">
        <is>
          <t>Bollywood</t>
        </is>
      </c>
      <c r="K90" s="37" t="inlineStr">
        <is>
          <t>Punjabi</t>
        </is>
      </c>
      <c r="L90" s="37" t="n">
        <v>1299</v>
      </c>
      <c r="M90" s="37" t="n">
        <v>4</v>
      </c>
      <c r="N90" s="37" t="n">
        <v>4447.2</v>
      </c>
      <c r="O90" s="37" t="inlineStr">
        <is>
          <t>Android</t>
        </is>
      </c>
    </row>
    <row r="91">
      <c r="A91" s="32" t="n">
        <v>90</v>
      </c>
      <c r="B91" s="33" t="n">
        <v>45713</v>
      </c>
      <c r="C91" s="34" t="inlineStr">
        <is>
          <t>February</t>
        </is>
      </c>
      <c r="D91" s="34" t="inlineStr">
        <is>
          <t>Tuesday</t>
        </is>
      </c>
      <c r="E91" s="34" t="n">
        <v>18</v>
      </c>
      <c r="F91" s="34" t="inlineStr">
        <is>
          <t>Evening</t>
        </is>
      </c>
      <c r="G91" s="34" t="inlineStr">
        <is>
          <t>Heeriye</t>
        </is>
      </c>
      <c r="H91" s="34" t="inlineStr">
        <is>
          <t>Jasleen Royal</t>
        </is>
      </c>
      <c r="I91" s="34" t="inlineStr">
        <is>
          <t>Heeriye</t>
        </is>
      </c>
      <c r="J91" s="34" t="inlineStr">
        <is>
          <t>Bollywood</t>
        </is>
      </c>
      <c r="K91" s="34" t="inlineStr">
        <is>
          <t>Hindi</t>
        </is>
      </c>
      <c r="L91" s="34" t="n">
        <v>2620</v>
      </c>
      <c r="M91" s="34" t="n">
        <v>3</v>
      </c>
      <c r="N91" s="34" t="n">
        <v>7599.5</v>
      </c>
      <c r="O91" s="34" t="inlineStr">
        <is>
          <t>Desktop</t>
        </is>
      </c>
    </row>
    <row r="92">
      <c r="A92" s="35" t="n">
        <v>91</v>
      </c>
      <c r="B92" s="36" t="n">
        <v>45696</v>
      </c>
      <c r="C92" s="37" t="inlineStr">
        <is>
          <t>February</t>
        </is>
      </c>
      <c r="D92" s="37" t="inlineStr">
        <is>
          <t>Saturday</t>
        </is>
      </c>
      <c r="E92" s="37" t="n">
        <v>9</v>
      </c>
      <c r="F92" s="37" t="inlineStr">
        <is>
          <t>Morning</t>
        </is>
      </c>
      <c r="G92" s="37" t="inlineStr">
        <is>
          <t>Saibo</t>
        </is>
      </c>
      <c r="H92" s="37" t="inlineStr">
        <is>
          <t>Shreya Ghoshal</t>
        </is>
      </c>
      <c r="I92" s="37" t="inlineStr">
        <is>
          <t>Shor in the City</t>
        </is>
      </c>
      <c r="J92" s="37" t="inlineStr">
        <is>
          <t>Bollywood</t>
        </is>
      </c>
      <c r="K92" s="37" t="inlineStr">
        <is>
          <t>Hindi</t>
        </is>
      </c>
      <c r="L92" s="37" t="n">
        <v>2675</v>
      </c>
      <c r="M92" s="37" t="n">
        <v>3</v>
      </c>
      <c r="N92" s="37" t="n">
        <v>7887.6</v>
      </c>
      <c r="O92" s="37" t="inlineStr">
        <is>
          <t>Web Player</t>
        </is>
      </c>
    </row>
    <row r="93">
      <c r="A93" s="32" t="n">
        <v>92</v>
      </c>
      <c r="B93" s="33" t="n">
        <v>45679</v>
      </c>
      <c r="C93" s="34" t="inlineStr">
        <is>
          <t>January</t>
        </is>
      </c>
      <c r="D93" s="34" t="inlineStr">
        <is>
          <t>Wednesday</t>
        </is>
      </c>
      <c r="E93" s="34" t="n">
        <v>8</v>
      </c>
      <c r="F93" s="34" t="inlineStr">
        <is>
          <t>Morning</t>
        </is>
      </c>
      <c r="G93" s="34" t="inlineStr">
        <is>
          <t>Photograph</t>
        </is>
      </c>
      <c r="H93" s="34" t="inlineStr">
        <is>
          <t>Ed Sheeran</t>
        </is>
      </c>
      <c r="I93" s="34" t="inlineStr">
        <is>
          <t>X</t>
        </is>
      </c>
      <c r="J93" s="34" t="inlineStr">
        <is>
          <t>Pop</t>
        </is>
      </c>
      <c r="K93" s="34" t="inlineStr">
        <is>
          <t>English</t>
        </is>
      </c>
      <c r="L93" s="34" t="n">
        <v>1672</v>
      </c>
      <c r="M93" s="34" t="n">
        <v>5</v>
      </c>
      <c r="N93" s="34" t="n">
        <v>7205.2</v>
      </c>
      <c r="O93" s="34" t="inlineStr">
        <is>
          <t>Web Player</t>
        </is>
      </c>
    </row>
    <row r="94">
      <c r="A94" s="35" t="n">
        <v>93</v>
      </c>
      <c r="B94" s="36" t="n">
        <v>45989</v>
      </c>
      <c r="C94" s="37" t="inlineStr">
        <is>
          <t>November</t>
        </is>
      </c>
      <c r="D94" s="37" t="inlineStr">
        <is>
          <t>Friday</t>
        </is>
      </c>
      <c r="E94" s="37" t="n">
        <v>9</v>
      </c>
      <c r="F94" s="37" t="inlineStr">
        <is>
          <t>Morning</t>
        </is>
      </c>
      <c r="G94" s="37" t="inlineStr">
        <is>
          <t>Starboy</t>
        </is>
      </c>
      <c r="H94" s="37" t="inlineStr">
        <is>
          <t>The Weeknd</t>
        </is>
      </c>
      <c r="I94" s="37" t="inlineStr">
        <is>
          <t>Starboy</t>
        </is>
      </c>
      <c r="J94" s="37" t="inlineStr">
        <is>
          <t>Pop</t>
        </is>
      </c>
      <c r="K94" s="37" t="inlineStr">
        <is>
          <t>English</t>
        </is>
      </c>
      <c r="L94" s="37" t="n">
        <v>1647</v>
      </c>
      <c r="M94" s="37" t="n">
        <v>2</v>
      </c>
      <c r="N94" s="37" t="n">
        <v>4597.3</v>
      </c>
      <c r="O94" s="37" t="inlineStr">
        <is>
          <t>Desktop</t>
        </is>
      </c>
    </row>
    <row r="95">
      <c r="A95" s="32" t="n">
        <v>94</v>
      </c>
      <c r="B95" s="33" t="n">
        <v>45843</v>
      </c>
      <c r="C95" s="34" t="inlineStr">
        <is>
          <t>July</t>
        </is>
      </c>
      <c r="D95" s="34" t="inlineStr">
        <is>
          <t>Saturday</t>
        </is>
      </c>
      <c r="E95" s="34" t="n">
        <v>11</v>
      </c>
      <c r="F95" s="34" t="inlineStr">
        <is>
          <t>Morning</t>
        </is>
      </c>
      <c r="G95" s="34" t="inlineStr">
        <is>
          <t>Lover</t>
        </is>
      </c>
      <c r="H95" s="34" t="inlineStr">
        <is>
          <t>Diljit Dosanjh</t>
        </is>
      </c>
      <c r="I95" s="34" t="inlineStr">
        <is>
          <t>G.O.A.T.</t>
        </is>
      </c>
      <c r="J95" s="34" t="inlineStr">
        <is>
          <t>Punjabi</t>
        </is>
      </c>
      <c r="K95" s="34" t="inlineStr">
        <is>
          <t>Punjabi</t>
        </is>
      </c>
      <c r="L95" s="34" t="n">
        <v>2853</v>
      </c>
      <c r="M95" s="34" t="n">
        <v>4</v>
      </c>
      <c r="N95" s="34" t="n">
        <v>12550.3</v>
      </c>
      <c r="O95" s="34" t="inlineStr">
        <is>
          <t>Desktop</t>
        </is>
      </c>
    </row>
    <row r="96">
      <c r="A96" s="35" t="n">
        <v>95</v>
      </c>
      <c r="B96" s="36" t="n">
        <v>45991</v>
      </c>
      <c r="C96" s="37" t="inlineStr">
        <is>
          <t>November</t>
        </is>
      </c>
      <c r="D96" s="37" t="inlineStr">
        <is>
          <t>Sunday</t>
        </is>
      </c>
      <c r="E96" s="37" t="n">
        <v>19</v>
      </c>
      <c r="F96" s="37" t="inlineStr">
        <is>
          <t>Evening</t>
        </is>
      </c>
      <c r="G96" s="37" t="inlineStr">
        <is>
          <t>Save Your Tears</t>
        </is>
      </c>
      <c r="H96" s="37" t="inlineStr">
        <is>
          <t>The Weeknd</t>
        </is>
      </c>
      <c r="I96" s="37" t="inlineStr">
        <is>
          <t>After Hours</t>
        </is>
      </c>
      <c r="J96" s="37" t="inlineStr">
        <is>
          <t>Pop</t>
        </is>
      </c>
      <c r="K96" s="37" t="inlineStr">
        <is>
          <t>English</t>
        </is>
      </c>
      <c r="L96" s="37" t="n">
        <v>1356</v>
      </c>
      <c r="M96" s="37" t="n">
        <v>5</v>
      </c>
      <c r="N96" s="37" t="n">
        <v>6497</v>
      </c>
      <c r="O96" s="37" t="inlineStr">
        <is>
          <t>Desktop</t>
        </is>
      </c>
    </row>
    <row r="97">
      <c r="A97" s="32" t="n">
        <v>96</v>
      </c>
      <c r="B97" s="33" t="n">
        <v>45795</v>
      </c>
      <c r="C97" s="34" t="inlineStr">
        <is>
          <t>May</t>
        </is>
      </c>
      <c r="D97" s="34" t="inlineStr">
        <is>
          <t>Sunday</t>
        </is>
      </c>
      <c r="E97" s="34" t="n">
        <v>14</v>
      </c>
      <c r="F97" s="34" t="inlineStr">
        <is>
          <t>Afternoon</t>
        </is>
      </c>
      <c r="G97" s="34" t="inlineStr">
        <is>
          <t>Sunflower</t>
        </is>
      </c>
      <c r="H97" s="34" t="inlineStr">
        <is>
          <t>Post Malone</t>
        </is>
      </c>
      <c r="I97" s="34" t="inlineStr">
        <is>
          <t>Spider-Man: Into the Spider-Verse</t>
        </is>
      </c>
      <c r="J97" s="34" t="inlineStr">
        <is>
          <t>Hip-Hop</t>
        </is>
      </c>
      <c r="K97" s="34" t="inlineStr">
        <is>
          <t>English</t>
        </is>
      </c>
      <c r="L97" s="34" t="n">
        <v>1570</v>
      </c>
      <c r="M97" s="34" t="n">
        <v>3</v>
      </c>
      <c r="N97" s="34" t="n">
        <v>5804.5</v>
      </c>
      <c r="O97" s="34" t="inlineStr">
        <is>
          <t>Android</t>
        </is>
      </c>
    </row>
    <row r="98">
      <c r="A98" s="35" t="n">
        <v>97</v>
      </c>
      <c r="B98" s="36" t="n">
        <v>45782</v>
      </c>
      <c r="C98" s="37" t="inlineStr">
        <is>
          <t>May</t>
        </is>
      </c>
      <c r="D98" s="37" t="inlineStr">
        <is>
          <t>Monday</t>
        </is>
      </c>
      <c r="E98" s="37" t="n">
        <v>16</v>
      </c>
      <c r="F98" s="37" t="inlineStr">
        <is>
          <t>Afternoon</t>
        </is>
      </c>
      <c r="G98" s="37" t="inlineStr">
        <is>
          <t>Softly</t>
        </is>
      </c>
      <c r="H98" s="37" t="inlineStr">
        <is>
          <t>Karan Aujla</t>
        </is>
      </c>
      <c r="I98" s="37" t="inlineStr">
        <is>
          <t>Making Memories</t>
        </is>
      </c>
      <c r="J98" s="37" t="inlineStr">
        <is>
          <t>Punjabi</t>
        </is>
      </c>
      <c r="K98" s="37" t="inlineStr">
        <is>
          <t>Punjabi</t>
        </is>
      </c>
      <c r="L98" s="37" t="n">
        <v>2153</v>
      </c>
      <c r="M98" s="37" t="n">
        <v>5</v>
      </c>
      <c r="N98" s="37" t="n">
        <v>10089.7</v>
      </c>
      <c r="O98" s="37" t="inlineStr">
        <is>
          <t>Desktop</t>
        </is>
      </c>
    </row>
    <row r="99">
      <c r="A99" s="32" t="n">
        <v>98</v>
      </c>
      <c r="B99" s="33" t="n">
        <v>45911</v>
      </c>
      <c r="C99" s="34" t="inlineStr">
        <is>
          <t>September</t>
        </is>
      </c>
      <c r="D99" s="34" t="inlineStr">
        <is>
          <t>Thursday</t>
        </is>
      </c>
      <c r="E99" s="34" t="n">
        <v>14</v>
      </c>
      <c r="F99" s="34" t="inlineStr">
        <is>
          <t>Afternoon</t>
        </is>
      </c>
      <c r="G99" s="34" t="inlineStr">
        <is>
          <t>Apna Bana Le</t>
        </is>
      </c>
      <c r="H99" s="34" t="inlineStr">
        <is>
          <t>Arijit Singh</t>
        </is>
      </c>
      <c r="I99" s="34" t="inlineStr">
        <is>
          <t>Bhediya</t>
        </is>
      </c>
      <c r="J99" s="34" t="inlineStr">
        <is>
          <t>Bollywood</t>
        </is>
      </c>
      <c r="K99" s="34" t="inlineStr">
        <is>
          <t>Hindi</t>
        </is>
      </c>
      <c r="L99" s="34" t="n">
        <v>1581</v>
      </c>
      <c r="M99" s="34" t="n">
        <v>3</v>
      </c>
      <c r="N99" s="34" t="n">
        <v>4931</v>
      </c>
      <c r="O99" s="34" t="inlineStr">
        <is>
          <t>Web Player</t>
        </is>
      </c>
    </row>
    <row r="100">
      <c r="A100" s="35" t="n">
        <v>99</v>
      </c>
      <c r="B100" s="36" t="n">
        <v>45801</v>
      </c>
      <c r="C100" s="37" t="inlineStr">
        <is>
          <t>May</t>
        </is>
      </c>
      <c r="D100" s="37" t="inlineStr">
        <is>
          <t>Saturday</t>
        </is>
      </c>
      <c r="E100" s="37" t="n">
        <v>8</v>
      </c>
      <c r="F100" s="37" t="inlineStr">
        <is>
          <t>Morning</t>
        </is>
      </c>
      <c r="G100" s="37" t="inlineStr">
        <is>
          <t>Gul</t>
        </is>
      </c>
      <c r="H100" s="37" t="inlineStr">
        <is>
          <t>Anuv Jain</t>
        </is>
      </c>
      <c r="I100" s="37" t="inlineStr">
        <is>
          <t>Gul</t>
        </is>
      </c>
      <c r="J100" s="37" t="inlineStr">
        <is>
          <t>Indie</t>
        </is>
      </c>
      <c r="K100" s="37" t="inlineStr">
        <is>
          <t>Hindi</t>
        </is>
      </c>
      <c r="L100" s="37" t="n">
        <v>2691</v>
      </c>
      <c r="M100" s="37" t="n">
        <v>4</v>
      </c>
      <c r="N100" s="37" t="n">
        <v>9499.4</v>
      </c>
      <c r="O100" s="37" t="inlineStr">
        <is>
          <t>iOS</t>
        </is>
      </c>
    </row>
    <row r="101">
      <c r="A101" s="32" t="n">
        <v>100</v>
      </c>
      <c r="B101" s="33" t="n">
        <v>45866</v>
      </c>
      <c r="C101" s="34" t="inlineStr">
        <is>
          <t>July</t>
        </is>
      </c>
      <c r="D101" s="34" t="inlineStr">
        <is>
          <t>Monday</t>
        </is>
      </c>
      <c r="E101" s="34" t="n">
        <v>21</v>
      </c>
      <c r="F101" s="34" t="inlineStr">
        <is>
          <t>Night</t>
        </is>
      </c>
      <c r="G101" s="34" t="inlineStr">
        <is>
          <t>Raataan Lambiyan</t>
        </is>
      </c>
      <c r="H101" s="34" t="inlineStr">
        <is>
          <t>Jubin Nautiyal</t>
        </is>
      </c>
      <c r="I101" s="34" t="inlineStr">
        <is>
          <t>Shershaah</t>
        </is>
      </c>
      <c r="J101" s="34" t="inlineStr">
        <is>
          <t>Bollywood</t>
        </is>
      </c>
      <c r="K101" s="34" t="inlineStr">
        <is>
          <t>Hindi</t>
        </is>
      </c>
      <c r="L101" s="34" t="n">
        <v>2251</v>
      </c>
      <c r="M101" s="34" t="n">
        <v>5</v>
      </c>
      <c r="N101" s="34" t="n">
        <v>10907.1</v>
      </c>
      <c r="O101" s="34" t="inlineStr">
        <is>
          <t>Desktop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tabColor rgb="001DB954"/>
    <outlinePr summaryBelow="1" summaryRight="1"/>
    <pageSetUpPr/>
  </sheetPr>
  <dimension ref="A1:L37"/>
  <sheetViews>
    <sheetView showGridLines="0" workbookViewId="0">
      <pane ySplit="1" topLeftCell="A2" activePane="bottomLeft" state="frozen"/>
      <selection pane="bottomLeft" activeCell="AJ18" sqref="AJ18"/>
    </sheetView>
  </sheetViews>
  <sheetFormatPr baseColWidth="8" defaultRowHeight="14.4"/>
  <cols>
    <col width="14" bestFit="1" customWidth="1" style="17" min="1" max="1"/>
    <col width="27" bestFit="1" customWidth="1" style="17" min="2" max="2"/>
    <col width="12" customWidth="1" style="17" min="3" max="3"/>
    <col width="28" bestFit="1" customWidth="1" style="17" min="4" max="4"/>
    <col width="15" bestFit="1" customWidth="1" style="17" min="5" max="5"/>
    <col width="12" customWidth="1" style="17" min="6" max="6"/>
    <col width="17" bestFit="1" customWidth="1" style="17" min="7" max="7"/>
    <col width="15" bestFit="1" customWidth="1" style="17" min="8" max="8"/>
    <col width="12" customWidth="1" style="17" min="9" max="9"/>
    <col width="12" customWidth="1" style="17" min="10" max="10"/>
    <col width="14" bestFit="1" customWidth="1" style="17" min="11" max="11"/>
    <col width="27" bestFit="1" customWidth="1" style="17" min="12" max="12"/>
  </cols>
  <sheetData>
    <row r="1"/>
    <row r="2">
      <c r="A2" s="38" t="inlineStr">
        <is>
          <t>Row Labels</t>
        </is>
      </c>
      <c r="B2" s="30" t="inlineStr">
        <is>
          <t>Sum of Listening Minutes</t>
        </is>
      </c>
    </row>
    <row r="3">
      <c r="A3" s="32" t="inlineStr">
        <is>
          <t>January</t>
        </is>
      </c>
      <c r="B3" s="34" t="n">
        <v>31867.3</v>
      </c>
    </row>
    <row r="4">
      <c r="A4" s="35" t="inlineStr">
        <is>
          <t>February</t>
        </is>
      </c>
      <c r="B4" s="37" t="n">
        <v>57263.5</v>
      </c>
    </row>
    <row r="5">
      <c r="A5" s="32" t="inlineStr">
        <is>
          <t>March</t>
        </is>
      </c>
      <c r="B5" s="34" t="n">
        <v>22670.9</v>
      </c>
      <c r="K5" s="39" t="inlineStr">
        <is>
          <t>Row Labels</t>
        </is>
      </c>
      <c r="L5" s="34" t="inlineStr">
        <is>
          <t>Sum of Listening Minutes</t>
        </is>
      </c>
    </row>
    <row r="6">
      <c r="A6" s="35" t="inlineStr">
        <is>
          <t>April</t>
        </is>
      </c>
      <c r="B6" s="37" t="n">
        <v>82450.10000000001</v>
      </c>
      <c r="K6" s="37" t="inlineStr">
        <is>
          <t>Bollywood</t>
        </is>
      </c>
      <c r="L6" s="37" t="n">
        <v>261437.6</v>
      </c>
    </row>
    <row r="7">
      <c r="A7" s="32" t="inlineStr">
        <is>
          <t>May</t>
        </is>
      </c>
      <c r="B7" s="34" t="n">
        <v>59319.7</v>
      </c>
      <c r="D7" s="39" t="inlineStr">
        <is>
          <t>Row Labels</t>
        </is>
      </c>
      <c r="E7" s="34" t="inlineStr">
        <is>
          <t>Sum of Plays</t>
        </is>
      </c>
      <c r="K7" s="34" t="inlineStr">
        <is>
          <t>Hip-Hop</t>
        </is>
      </c>
      <c r="L7" s="34" t="n">
        <v>32401.5</v>
      </c>
    </row>
    <row r="8">
      <c r="A8" s="35" t="inlineStr">
        <is>
          <t>June</t>
        </is>
      </c>
      <c r="B8" s="37" t="n">
        <v>14936.5</v>
      </c>
      <c r="D8" s="37" t="inlineStr">
        <is>
          <t>Apna Bana Le</t>
        </is>
      </c>
      <c r="E8" s="37" t="n">
        <v>6517</v>
      </c>
      <c r="K8" s="37" t="inlineStr">
        <is>
          <t>Indie</t>
        </is>
      </c>
      <c r="L8" s="37" t="n">
        <v>28834.4</v>
      </c>
    </row>
    <row r="9">
      <c r="A9" s="32" t="inlineStr">
        <is>
          <t>July</t>
        </is>
      </c>
      <c r="B9" s="34" t="n">
        <v>59438.49999999999</v>
      </c>
      <c r="D9" s="34" t="inlineStr">
        <is>
          <t>Gul</t>
        </is>
      </c>
      <c r="E9" s="34" t="n">
        <v>6260</v>
      </c>
      <c r="K9" s="34" t="inlineStr">
        <is>
          <t>Pop</t>
        </is>
      </c>
      <c r="L9" s="34" t="n">
        <v>128668</v>
      </c>
    </row>
    <row r="10">
      <c r="A10" s="35" t="inlineStr">
        <is>
          <t>August</t>
        </is>
      </c>
      <c r="B10" s="37" t="n">
        <v>62778.5</v>
      </c>
      <c r="D10" s="37" t="inlineStr">
        <is>
          <t>Kesariya</t>
        </is>
      </c>
      <c r="E10" s="37" t="n">
        <v>5325</v>
      </c>
      <c r="K10" s="37" t="inlineStr">
        <is>
          <t>Punjabi</t>
        </is>
      </c>
      <c r="L10" s="37" t="n">
        <v>78385</v>
      </c>
    </row>
    <row r="11">
      <c r="A11" s="32" t="inlineStr">
        <is>
          <t>September</t>
        </is>
      </c>
      <c r="B11" s="34" t="n">
        <v>47330</v>
      </c>
      <c r="D11" s="34" t="inlineStr">
        <is>
          <t>Lover</t>
        </is>
      </c>
      <c r="E11" s="34" t="n">
        <v>10533</v>
      </c>
      <c r="K11" s="34" t="inlineStr">
        <is>
          <t>R&amp;B</t>
        </is>
      </c>
      <c r="L11" s="34" t="n">
        <v>9018.6</v>
      </c>
    </row>
    <row r="12">
      <c r="A12" s="35" t="inlineStr">
        <is>
          <t>October</t>
        </is>
      </c>
      <c r="B12" s="37" t="n">
        <v>24117.1</v>
      </c>
      <c r="D12" s="37" t="inlineStr">
        <is>
          <t>Param Sundari</t>
        </is>
      </c>
      <c r="E12" s="37" t="n">
        <v>4908</v>
      </c>
      <c r="K12" s="37" t="inlineStr">
        <is>
          <t>Grand Total</t>
        </is>
      </c>
      <c r="L12" s="37" t="n">
        <v>538745.1</v>
      </c>
    </row>
    <row r="13">
      <c r="A13" s="32" t="inlineStr">
        <is>
          <t>November</t>
        </is>
      </c>
      <c r="B13" s="34" t="n">
        <v>39102.4</v>
      </c>
      <c r="D13" s="34" t="inlineStr">
        <is>
          <t>Shape of You</t>
        </is>
      </c>
      <c r="E13" s="34" t="n">
        <v>5210</v>
      </c>
    </row>
    <row r="14">
      <c r="A14" s="35" t="inlineStr">
        <is>
          <t>December</t>
        </is>
      </c>
      <c r="B14" s="37" t="n">
        <v>37470.6</v>
      </c>
      <c r="D14" s="37" t="inlineStr">
        <is>
          <t>Sun Raha Hai</t>
        </is>
      </c>
      <c r="E14" s="37" t="n">
        <v>5939</v>
      </c>
    </row>
    <row r="15">
      <c r="A15" s="32" t="inlineStr">
        <is>
          <t>Grand Total</t>
        </is>
      </c>
      <c r="B15" s="34" t="n">
        <v>538745.1</v>
      </c>
      <c r="D15" s="34" t="inlineStr">
        <is>
          <t>Sunflower</t>
        </is>
      </c>
      <c r="E15" s="34" t="n">
        <v>5071</v>
      </c>
    </row>
    <row r="16">
      <c r="D16" s="37" t="inlineStr">
        <is>
          <t>Tauba Tauba</t>
        </is>
      </c>
      <c r="E16" s="37" t="n">
        <v>10978</v>
      </c>
    </row>
    <row r="17">
      <c r="D17" s="34" t="inlineStr">
        <is>
          <t>Teri Baaton Mein Aisa Uljha Jiya</t>
        </is>
      </c>
      <c r="E17" s="34" t="n">
        <v>5891</v>
      </c>
    </row>
    <row r="18">
      <c r="D18" s="37" t="inlineStr">
        <is>
          <t>Grand Total</t>
        </is>
      </c>
      <c r="E18" s="37" t="n">
        <v>66632</v>
      </c>
    </row>
    <row r="19"/>
    <row r="20"/>
    <row r="21"/>
    <row r="22"/>
    <row r="23"/>
    <row r="24"/>
    <row r="25"/>
    <row r="26">
      <c r="G26" s="40" t="inlineStr">
        <is>
          <t>Row Labels</t>
        </is>
      </c>
      <c r="H26" s="37" t="inlineStr">
        <is>
          <t>Sum of Plays</t>
        </is>
      </c>
    </row>
    <row r="27">
      <c r="G27" s="34" t="inlineStr">
        <is>
          <t>Anuv Jain</t>
        </is>
      </c>
      <c r="H27" s="34" t="n">
        <v>8372</v>
      </c>
    </row>
    <row r="28">
      <c r="G28" s="37" t="inlineStr">
        <is>
          <t>Arijit Singh</t>
        </is>
      </c>
      <c r="H28" s="37" t="n">
        <v>31339</v>
      </c>
    </row>
    <row r="29">
      <c r="G29" s="34" t="inlineStr">
        <is>
          <t>Diljit Dosanjh</t>
        </is>
      </c>
      <c r="H29" s="34" t="n">
        <v>13207</v>
      </c>
    </row>
    <row r="30">
      <c r="G30" s="37" t="inlineStr">
        <is>
          <t>Ed Sheeran</t>
        </is>
      </c>
      <c r="H30" s="37" t="n">
        <v>8993</v>
      </c>
    </row>
    <row r="31">
      <c r="G31" s="34" t="inlineStr">
        <is>
          <t>Jubin Nautiyal</t>
        </is>
      </c>
      <c r="H31" s="34" t="n">
        <v>8551</v>
      </c>
    </row>
    <row r="32">
      <c r="G32" s="37" t="inlineStr">
        <is>
          <t>Justin Bieber</t>
        </is>
      </c>
      <c r="H32" s="37" t="n">
        <v>7979</v>
      </c>
    </row>
    <row r="33">
      <c r="G33" s="34" t="inlineStr">
        <is>
          <t>Karan Aujla</t>
        </is>
      </c>
      <c r="H33" s="34" t="n">
        <v>14393</v>
      </c>
    </row>
    <row r="34">
      <c r="G34" s="37" t="inlineStr">
        <is>
          <t>Post Malone</t>
        </is>
      </c>
      <c r="H34" s="37" t="n">
        <v>8211</v>
      </c>
    </row>
    <row r="35">
      <c r="G35" s="34" t="inlineStr">
        <is>
          <t>Shreya Ghoshal</t>
        </is>
      </c>
      <c r="H35" s="34" t="n">
        <v>18175</v>
      </c>
    </row>
    <row r="36">
      <c r="G36" s="37" t="inlineStr">
        <is>
          <t>The Weeknd</t>
        </is>
      </c>
      <c r="H36" s="37" t="n">
        <v>13523</v>
      </c>
    </row>
    <row r="37">
      <c r="G37" s="34" t="inlineStr">
        <is>
          <t>Grand Total</t>
        </is>
      </c>
      <c r="H37" s="34" t="n">
        <v>132743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tabColor rgb="001DB954"/>
    <outlinePr summaryBelow="1" summaryRight="1"/>
    <pageSetUpPr/>
  </sheetPr>
  <dimension ref="A1:W50"/>
  <sheetViews>
    <sheetView showGridLines="0" tabSelected="1" zoomScale="50" zoomScaleNormal="50" workbookViewId="0">
      <pane ySplit="1" topLeftCell="A2" activePane="bottomLeft" state="frozen"/>
      <selection pane="bottomLeft" activeCell="AI41" sqref="AI41"/>
    </sheetView>
  </sheetViews>
  <sheetFormatPr baseColWidth="8" defaultRowHeight="14.4"/>
  <cols>
    <col width="12" customWidth="1" style="17" min="1" max="1"/>
    <col width="12" customWidth="1" style="17" min="2" max="12"/>
    <col width="21" customWidth="1" style="17" min="3" max="3"/>
    <col width="13" customWidth="1" style="17" min="4" max="4"/>
    <col width="13" customWidth="1" style="17" min="5" max="5"/>
    <col width="17" customWidth="1" style="17" min="6" max="6"/>
    <col width="12" customWidth="1" style="17" min="7" max="7"/>
    <col width="12" customWidth="1" style="17" min="8" max="8"/>
    <col width="14" customWidth="1" style="17" min="9" max="9"/>
    <col width="12" customWidth="1" style="17" min="10" max="10"/>
    <col width="12" customWidth="1" style="17" min="11" max="11"/>
    <col width="19" customWidth="1" style="17" min="12" max="12"/>
    <col width="12" customWidth="1" style="17" min="13" max="13"/>
    <col width="12" customWidth="1" style="17" min="14" max="14"/>
    <col width="12" customWidth="1" style="17" min="15" max="15"/>
    <col width="12" customWidth="1" style="17" min="16" max="16"/>
    <col width="12" customWidth="1" style="17" min="17" max="17"/>
    <col width="12" customWidth="1" style="17" min="18" max="18"/>
    <col width="12" customWidth="1" style="17" min="19" max="19"/>
    <col width="12" customWidth="1" style="17" min="20" max="20"/>
    <col width="12" customWidth="1" style="17" min="21" max="21"/>
    <col width="12" customWidth="1" style="17" min="22" max="22"/>
    <col width="12" customWidth="1" style="17" min="23" max="23"/>
  </cols>
  <sheetData>
    <row r="1" ht="36.6" customHeight="1" s="17">
      <c r="A1" s="41" t="inlineStr">
        <is>
          <t>Spotify</t>
        </is>
      </c>
      <c r="B1" s="18" t="n"/>
      <c r="C1" s="41" t="inlineStr">
        <is>
          <t xml:space="preserve">Spotify Dashboard </t>
        </is>
      </c>
      <c r="D1" s="6" t="n"/>
      <c r="E1" s="6" t="n"/>
      <c r="F1" s="9" t="n"/>
      <c r="G1" s="9" t="n"/>
      <c r="H1" s="9" t="n"/>
      <c r="I1" s="9" t="n"/>
      <c r="J1" s="9" t="n"/>
      <c r="K1" s="9" t="n"/>
      <c r="L1" s="9" t="n"/>
      <c r="M1" s="9" t="n"/>
      <c r="N1" s="9" t="n"/>
      <c r="O1" s="9" t="n"/>
      <c r="P1" s="9" t="n"/>
      <c r="Q1" s="9" t="n"/>
      <c r="R1" s="9" t="n"/>
      <c r="S1" s="9" t="n"/>
      <c r="T1" s="9" t="n"/>
      <c r="U1" s="9" t="n"/>
      <c r="V1" s="9" t="n"/>
      <c r="W1" s="9" t="n"/>
    </row>
    <row r="2">
      <c r="A2" s="30" t="inlineStr">
        <is>
          <t>Home</t>
        </is>
      </c>
      <c r="B2" s="19" t="n"/>
      <c r="C2" s="30" t="inlineStr">
        <is>
          <t>Your Music</t>
        </is>
      </c>
      <c r="D2" s="30" t="inlineStr">
        <is>
          <t>Your value</t>
        </is>
      </c>
      <c r="E2" s="30" t="inlineStr">
        <is>
          <t>Your Stats</t>
        </is>
      </c>
      <c r="F2" s="9" t="n"/>
      <c r="G2" s="9" t="n"/>
      <c r="H2" s="9" t="n"/>
      <c r="I2" s="9" t="n"/>
      <c r="J2" s="9" t="n"/>
      <c r="K2" s="9" t="n"/>
      <c r="L2" s="9" t="n"/>
      <c r="M2" s="9" t="n"/>
      <c r="N2" s="9" t="n"/>
      <c r="O2" s="9" t="n"/>
      <c r="P2" s="9" t="n"/>
      <c r="Q2" s="9" t="n"/>
      <c r="R2" s="9" t="n"/>
      <c r="S2" s="9" t="n"/>
      <c r="T2" s="9" t="n"/>
      <c r="U2" s="9" t="n"/>
      <c r="V2" s="9" t="n"/>
      <c r="W2" s="9" t="n"/>
    </row>
    <row r="3">
      <c r="A3" s="42" t="inlineStr">
        <is>
          <t>Songs</t>
        </is>
      </c>
      <c r="B3" s="20" t="n"/>
      <c r="C3" s="9" t="n"/>
      <c r="D3" s="9" t="n"/>
      <c r="E3" s="9" t="n"/>
      <c r="F3" s="9" t="n"/>
      <c r="G3" s="9" t="n"/>
      <c r="H3" s="9" t="n"/>
      <c r="I3" s="9" t="n"/>
      <c r="J3" s="9" t="n"/>
      <c r="K3" s="9" t="n"/>
      <c r="L3" s="9" t="n"/>
      <c r="M3" s="9" t="n"/>
      <c r="N3" s="9" t="n"/>
      <c r="O3" s="9" t="n"/>
      <c r="P3" s="9" t="n"/>
      <c r="Q3" s="9" t="n"/>
      <c r="R3" s="9" t="n"/>
      <c r="S3" s="9" t="n"/>
      <c r="T3" s="9" t="n"/>
      <c r="U3" s="9" t="n"/>
      <c r="V3" s="9" t="n"/>
      <c r="W3" s="9" t="n"/>
    </row>
    <row r="4">
      <c r="A4" s="35" t="inlineStr">
        <is>
          <t>Artists</t>
        </is>
      </c>
      <c r="B4" s="20" t="n"/>
      <c r="C4" s="9" t="n"/>
      <c r="D4" s="9" t="n"/>
      <c r="E4" s="9" t="n"/>
      <c r="F4" s="9" t="n"/>
      <c r="G4" s="9" t="n"/>
      <c r="H4" s="9" t="n"/>
      <c r="I4" s="9" t="n"/>
      <c r="J4" s="9" t="n"/>
      <c r="K4" s="9" t="n"/>
      <c r="L4" s="9" t="n"/>
      <c r="M4" s="9" t="n"/>
      <c r="N4" s="9" t="n"/>
      <c r="O4" s="9" t="n"/>
      <c r="P4" s="9" t="n"/>
      <c r="Q4" s="9" t="n"/>
      <c r="R4" s="9" t="n"/>
      <c r="S4" s="9" t="n"/>
      <c r="T4" s="9" t="n"/>
      <c r="U4" s="9" t="n"/>
      <c r="V4" s="9" t="n"/>
      <c r="W4" s="9" t="n"/>
    </row>
    <row r="5">
      <c r="A5" s="42" t="inlineStr">
        <is>
          <t>Albums</t>
        </is>
      </c>
      <c r="B5" s="20" t="n"/>
      <c r="C5" s="43" t="inlineStr">
        <is>
          <t>Total Plays</t>
        </is>
      </c>
      <c r="D5" s="44" t="n"/>
      <c r="E5" s="9" t="n"/>
      <c r="F5" s="43" t="inlineStr">
        <is>
          <t>Listening Time</t>
        </is>
      </c>
      <c r="G5" s="44" t="n"/>
      <c r="H5" s="9" t="n"/>
      <c r="I5" s="43" t="inlineStr">
        <is>
          <t>Total Songs</t>
        </is>
      </c>
      <c r="J5" s="44" t="n"/>
      <c r="K5" s="9" t="n"/>
      <c r="L5" s="43" t="inlineStr">
        <is>
          <t>Top Artist Plays</t>
        </is>
      </c>
      <c r="M5" s="44" t="n"/>
      <c r="N5" s="9" t="n"/>
      <c r="O5" s="9" t="n"/>
      <c r="P5" s="9" t="n"/>
      <c r="Q5" s="9" t="n"/>
      <c r="R5" s="9" t="n"/>
      <c r="S5" s="9" t="n"/>
      <c r="T5" s="9" t="n"/>
      <c r="U5" s="9" t="n"/>
      <c r="V5" s="9" t="n"/>
      <c r="W5" s="9" t="n"/>
    </row>
    <row r="6">
      <c r="A6" s="35" t="inlineStr">
        <is>
          <t>Playlists</t>
        </is>
      </c>
      <c r="B6" s="20" t="n"/>
      <c r="C6" s="45" t="n"/>
      <c r="D6" s="46" t="n"/>
      <c r="E6" s="9" t="n"/>
      <c r="F6" s="45" t="n"/>
      <c r="G6" s="46" t="n"/>
      <c r="H6" s="9" t="n"/>
      <c r="I6" s="45" t="n"/>
      <c r="J6" s="46" t="n"/>
      <c r="K6" s="9" t="n"/>
      <c r="L6" s="45" t="n"/>
      <c r="M6" s="46" t="n"/>
      <c r="N6" s="9" t="n"/>
      <c r="O6" s="9" t="n"/>
      <c r="P6" s="9" t="n"/>
      <c r="Q6" s="9" t="n"/>
      <c r="R6" s="9" t="n"/>
      <c r="S6" s="9" t="n"/>
      <c r="T6" s="9" t="n"/>
      <c r="U6" s="9" t="n"/>
      <c r="V6" s="9" t="n"/>
      <c r="W6" s="9" t="n"/>
    </row>
    <row r="7">
      <c r="A7" s="9" t="n"/>
      <c r="B7" s="9" t="n"/>
      <c r="C7" s="47" t="n">
        <v>151366</v>
      </c>
      <c r="D7" s="46" t="n"/>
      <c r="E7" s="9" t="n"/>
      <c r="F7" s="47" t="n">
        <v>538745.1</v>
      </c>
      <c r="G7" s="46" t="n"/>
      <c r="H7" s="9" t="n"/>
      <c r="I7" s="47" t="n">
        <v>100</v>
      </c>
      <c r="J7" s="46" t="n"/>
      <c r="K7" s="9" t="n"/>
      <c r="L7" s="48" t="inlineStr">
        <is>
          <t>Diljit Dosanjh</t>
        </is>
      </c>
      <c r="M7" s="46" t="n"/>
      <c r="N7" s="9" t="n"/>
      <c r="O7" s="9" t="n"/>
      <c r="P7" s="9" t="n"/>
      <c r="Q7" s="9" t="n"/>
      <c r="R7" s="9" t="n"/>
      <c r="S7" s="9" t="n"/>
      <c r="T7" s="9" t="n"/>
      <c r="U7" s="9" t="n"/>
      <c r="V7" s="9" t="n"/>
      <c r="W7" s="9" t="n"/>
    </row>
    <row r="8">
      <c r="A8" s="9" t="n"/>
      <c r="B8" s="9" t="n"/>
      <c r="C8" s="49" t="n"/>
      <c r="D8" s="50" t="n"/>
      <c r="E8" s="9" t="n"/>
      <c r="F8" s="49" t="n"/>
      <c r="G8" s="50" t="n"/>
      <c r="H8" s="9" t="n"/>
      <c r="I8" s="49" t="n"/>
      <c r="J8" s="50" t="n"/>
      <c r="K8" s="9" t="n"/>
      <c r="L8" s="49" t="n"/>
      <c r="M8" s="50" t="n"/>
      <c r="N8" s="9" t="n"/>
      <c r="O8" s="9" t="n"/>
      <c r="P8" s="9" t="n"/>
      <c r="Q8" s="9" t="n"/>
      <c r="R8" s="9" t="n"/>
      <c r="S8" s="9" t="n"/>
      <c r="T8" s="9" t="n"/>
      <c r="U8" s="9" t="n"/>
      <c r="V8" s="9" t="n"/>
      <c r="W8" s="9" t="n"/>
    </row>
    <row r="9">
      <c r="A9" s="9" t="n"/>
      <c r="B9" s="9" t="n"/>
      <c r="C9" s="9" t="n"/>
      <c r="D9" s="9" t="n"/>
      <c r="E9" s="9" t="n"/>
      <c r="F9" s="9" t="n"/>
      <c r="G9" s="9" t="n"/>
      <c r="H9" s="9" t="n"/>
      <c r="I9" s="9" t="n"/>
      <c r="J9" s="9" t="n"/>
      <c r="K9" s="9" t="n"/>
      <c r="L9" s="9" t="n"/>
      <c r="M9" s="9" t="n"/>
      <c r="N9" s="9" t="n"/>
      <c r="O9" s="9" t="n"/>
      <c r="P9" s="9" t="n"/>
      <c r="Q9" s="9" t="n"/>
      <c r="R9" s="9" t="n"/>
      <c r="S9" s="9" t="n"/>
      <c r="T9" s="9" t="n"/>
      <c r="U9" s="9" t="n"/>
      <c r="V9" s="9" t="n"/>
      <c r="W9" s="9" t="n"/>
    </row>
    <row r="10">
      <c r="A10" s="9" t="n"/>
      <c r="B10" s="9" t="n"/>
      <c r="C10" s="9" t="n"/>
      <c r="D10" s="9" t="n"/>
      <c r="E10" s="9" t="n"/>
      <c r="F10" s="9" t="n"/>
      <c r="G10" s="9" t="n"/>
      <c r="H10" s="9" t="n"/>
      <c r="I10" s="9" t="n"/>
      <c r="J10" s="9" t="n"/>
      <c r="K10" s="9" t="n"/>
      <c r="L10" s="9" t="n"/>
      <c r="M10" s="9" t="n"/>
      <c r="N10" s="9" t="n"/>
      <c r="O10" s="9" t="n"/>
      <c r="P10" s="9" t="n"/>
      <c r="Q10" s="9" t="n"/>
      <c r="R10" s="9" t="n"/>
      <c r="S10" s="9" t="n"/>
      <c r="T10" s="9" t="n"/>
      <c r="U10" s="9" t="n"/>
      <c r="V10" s="9" t="n"/>
      <c r="W10" s="9" t="n"/>
    </row>
    <row r="11">
      <c r="A11" s="9" t="n"/>
      <c r="B11" s="9" t="n"/>
      <c r="C11" s="9" t="n"/>
      <c r="D11" s="9" t="n"/>
      <c r="E11" s="9" t="n"/>
      <c r="F11" s="9" t="n"/>
      <c r="G11" s="9" t="n"/>
      <c r="H11" s="9" t="n"/>
      <c r="I11" s="9" t="n"/>
      <c r="J11" s="9" t="n"/>
      <c r="K11" s="9" t="n"/>
      <c r="L11" s="9" t="n"/>
      <c r="M11" s="9" t="n"/>
      <c r="N11" s="9" t="n"/>
      <c r="O11" s="9" t="n"/>
      <c r="P11" s="9" t="n"/>
      <c r="Q11" s="9" t="n"/>
      <c r="R11" s="9" t="n"/>
      <c r="S11" s="9" t="n"/>
      <c r="T11" s="9" t="n"/>
      <c r="U11" s="9" t="n"/>
      <c r="V11" s="9" t="n"/>
      <c r="W11" s="9" t="n"/>
    </row>
    <row r="12">
      <c r="A12" s="9" t="n"/>
      <c r="B12" s="9" t="n"/>
      <c r="C12" s="9" t="n"/>
      <c r="D12" s="9" t="n"/>
      <c r="E12" s="9" t="n"/>
      <c r="F12" s="9" t="n"/>
      <c r="G12" s="9" t="n"/>
      <c r="H12" s="9" t="n"/>
      <c r="I12" s="9" t="n"/>
      <c r="J12" s="9" t="n"/>
      <c r="K12" s="9" t="n"/>
      <c r="L12" s="9" t="n"/>
      <c r="M12" s="9" t="n"/>
      <c r="N12" s="9" t="n"/>
      <c r="O12" s="9" t="n"/>
      <c r="P12" s="9" t="n"/>
      <c r="Q12" s="9" t="n"/>
      <c r="R12" s="9" t="n"/>
      <c r="S12" s="9" t="n"/>
      <c r="T12" s="9" t="n"/>
      <c r="U12" s="9" t="n"/>
      <c r="V12" s="9" t="n"/>
      <c r="W12" s="9" t="n"/>
    </row>
    <row r="13">
      <c r="A13" s="9" t="n"/>
      <c r="B13" s="9" t="n"/>
      <c r="C13" s="9" t="n"/>
      <c r="D13" s="9" t="n"/>
      <c r="E13" s="9" t="n"/>
      <c r="F13" s="9" t="n"/>
      <c r="G13" s="9" t="n"/>
      <c r="H13" s="9" t="n"/>
      <c r="I13" s="9" t="n"/>
      <c r="J13" s="9" t="n"/>
      <c r="K13" s="9" t="n"/>
      <c r="L13" s="9" t="n"/>
      <c r="M13" s="9" t="n"/>
      <c r="N13" s="9" t="n"/>
      <c r="O13" s="9" t="n"/>
      <c r="P13" s="9" t="n"/>
      <c r="Q13" s="9" t="n"/>
      <c r="R13" s="9" t="n"/>
      <c r="S13" s="9" t="n"/>
      <c r="T13" s="9" t="n"/>
      <c r="U13" s="9" t="n"/>
      <c r="V13" s="9" t="n"/>
      <c r="W13" s="9" t="n"/>
    </row>
    <row r="14">
      <c r="A14" s="9" t="n"/>
      <c r="B14" s="9" t="n"/>
      <c r="C14" s="9" t="n"/>
      <c r="D14" s="9" t="n"/>
      <c r="E14" s="9" t="n"/>
      <c r="F14" s="9" t="n"/>
      <c r="G14" s="9" t="n"/>
      <c r="H14" s="9" t="n"/>
      <c r="I14" s="9" t="n"/>
      <c r="J14" s="9" t="n"/>
      <c r="K14" s="9" t="n"/>
      <c r="L14" s="9" t="n"/>
      <c r="M14" s="9" t="n"/>
      <c r="N14" s="9" t="n"/>
      <c r="O14" s="9" t="n"/>
      <c r="P14" s="9" t="n"/>
      <c r="Q14" s="9" t="n"/>
      <c r="R14" s="9" t="n"/>
      <c r="S14" s="9" t="n"/>
      <c r="T14" s="9" t="n"/>
      <c r="U14" s="9" t="n"/>
      <c r="V14" s="9" t="n"/>
      <c r="W14" s="9" t="n"/>
    </row>
    <row r="15">
      <c r="A15" s="9" t="n"/>
      <c r="B15" s="9" t="n"/>
      <c r="C15" s="9" t="n"/>
      <c r="D15" s="9" t="n"/>
      <c r="E15" s="9" t="n"/>
      <c r="F15" s="9" t="n"/>
      <c r="G15" s="9" t="n"/>
      <c r="H15" s="9" t="n"/>
      <c r="I15" s="9" t="n"/>
      <c r="J15" s="9" t="n"/>
      <c r="K15" s="9" t="n"/>
      <c r="L15" s="9" t="n"/>
      <c r="M15" s="9" t="n"/>
      <c r="N15" s="9" t="n"/>
      <c r="O15" s="9" t="n"/>
      <c r="P15" s="9" t="n"/>
      <c r="Q15" s="9" t="n"/>
      <c r="R15" s="9" t="n"/>
      <c r="S15" s="9" t="n"/>
      <c r="T15" s="9" t="n"/>
      <c r="U15" s="9" t="n"/>
      <c r="V15" s="9" t="n"/>
      <c r="W15" s="9" t="n"/>
    </row>
    <row r="16">
      <c r="A16" s="9" t="n"/>
      <c r="B16" s="9" t="n"/>
      <c r="C16" s="9" t="n"/>
      <c r="D16" s="9" t="n"/>
      <c r="E16" s="9" t="n"/>
      <c r="F16" s="9" t="n"/>
      <c r="G16" s="9" t="n"/>
      <c r="H16" s="9" t="n"/>
      <c r="I16" s="9" t="n"/>
      <c r="J16" s="9" t="n"/>
      <c r="K16" s="9" t="n"/>
      <c r="L16" s="9" t="n"/>
      <c r="M16" s="9" t="n"/>
      <c r="N16" s="9" t="n"/>
      <c r="O16" s="9" t="n"/>
      <c r="P16" s="9" t="n"/>
      <c r="Q16" s="9" t="n"/>
      <c r="R16" s="9" t="n"/>
      <c r="S16" s="9" t="n"/>
      <c r="T16" s="9" t="n"/>
      <c r="U16" s="9" t="n"/>
      <c r="V16" s="9" t="n"/>
      <c r="W16" s="9" t="n"/>
    </row>
    <row r="17">
      <c r="A17" s="9" t="n"/>
      <c r="B17" s="9" t="n"/>
      <c r="C17" s="9" t="n"/>
      <c r="D17" s="9" t="n"/>
      <c r="E17" s="9" t="n"/>
      <c r="F17" s="9" t="n"/>
      <c r="G17" s="9" t="n"/>
      <c r="H17" s="9" t="n"/>
      <c r="I17" s="9" t="n"/>
      <c r="J17" s="9" t="n"/>
      <c r="K17" s="9" t="n"/>
      <c r="L17" s="9" t="n"/>
      <c r="M17" s="9" t="n"/>
      <c r="N17" s="9" t="n"/>
      <c r="O17" s="9" t="n"/>
      <c r="P17" s="9" t="n"/>
      <c r="Q17" s="9" t="n"/>
      <c r="R17" s="9" t="n"/>
      <c r="S17" s="9" t="n"/>
      <c r="T17" s="9" t="n"/>
      <c r="U17" s="9" t="n"/>
      <c r="V17" s="9" t="n"/>
      <c r="W17" s="9" t="n"/>
    </row>
    <row r="18">
      <c r="A18" s="9" t="n"/>
      <c r="B18" s="9" t="n"/>
      <c r="C18" s="9" t="n"/>
      <c r="D18" s="9" t="n"/>
      <c r="E18" s="9" t="n"/>
      <c r="F18" s="9" t="n"/>
      <c r="G18" s="9" t="n"/>
      <c r="H18" s="9" t="n"/>
      <c r="I18" s="9" t="n"/>
      <c r="J18" s="9" t="n"/>
      <c r="K18" s="9" t="n"/>
      <c r="L18" s="9" t="n"/>
      <c r="M18" s="9" t="n"/>
      <c r="N18" s="9" t="n"/>
      <c r="O18" s="9" t="n"/>
      <c r="P18" s="9" t="n"/>
      <c r="Q18" s="9" t="n"/>
      <c r="R18" s="9" t="n"/>
      <c r="S18" s="9" t="n"/>
      <c r="T18" s="9" t="n"/>
      <c r="U18" s="9" t="n"/>
      <c r="V18" s="9" t="n"/>
      <c r="W18" s="9" t="n"/>
    </row>
    <row r="19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  <c r="M19" s="9" t="n"/>
      <c r="N19" s="9" t="n"/>
      <c r="O19" s="9" t="n"/>
      <c r="P19" s="9" t="n"/>
      <c r="Q19" s="9" t="n"/>
      <c r="R19" s="9" t="n"/>
      <c r="S19" s="9" t="n"/>
      <c r="T19" s="9" t="n"/>
      <c r="U19" s="9" t="n"/>
      <c r="V19" s="9" t="n"/>
      <c r="W19" s="9" t="n"/>
    </row>
    <row r="20">
      <c r="A20" s="9" t="n"/>
      <c r="B20" s="9" t="n"/>
      <c r="C20" s="9" t="n"/>
      <c r="D20" s="9" t="n"/>
      <c r="E20" s="9" t="n"/>
      <c r="F20" s="9" t="n"/>
      <c r="G20" s="9" t="n"/>
      <c r="H20" s="9" t="n"/>
      <c r="I20" s="9" t="n"/>
      <c r="J20" s="9" t="n"/>
      <c r="K20" s="9" t="n"/>
      <c r="L20" s="9" t="n"/>
      <c r="M20" s="9" t="n"/>
      <c r="N20" s="9" t="n"/>
      <c r="O20" s="9" t="n"/>
      <c r="P20" s="9" t="n"/>
      <c r="Q20" s="9" t="n"/>
      <c r="R20" s="9" t="n"/>
      <c r="S20" s="9" t="n"/>
      <c r="T20" s="9" t="n"/>
      <c r="U20" s="9" t="n"/>
      <c r="V20" s="9" t="n"/>
      <c r="W20" s="9" t="n"/>
    </row>
    <row r="21">
      <c r="A21" s="9" t="n"/>
      <c r="B21" s="9" t="n"/>
      <c r="C21" s="9" t="n"/>
      <c r="D21" s="9" t="n"/>
      <c r="E21" s="9" t="n"/>
      <c r="F21" s="9" t="n"/>
      <c r="G21" s="9" t="n"/>
      <c r="H21" s="9" t="n"/>
      <c r="I21" s="9" t="n"/>
      <c r="J21" s="9" t="n"/>
      <c r="K21" s="9" t="n"/>
      <c r="L21" s="9" t="n"/>
      <c r="M21" s="9" t="n"/>
      <c r="N21" s="9" t="n"/>
      <c r="O21" s="9" t="n"/>
      <c r="P21" s="9" t="n"/>
      <c r="Q21" s="9" t="n"/>
      <c r="R21" s="9" t="n"/>
      <c r="S21" s="9" t="n"/>
      <c r="T21" s="9" t="n"/>
      <c r="U21" s="9" t="n"/>
      <c r="V21" s="9" t="n"/>
      <c r="W21" s="9" t="n"/>
    </row>
    <row r="22">
      <c r="A22" s="9" t="n"/>
      <c r="B22" s="9" t="n"/>
      <c r="C22" s="9" t="n"/>
      <c r="D22" s="9" t="n"/>
      <c r="E22" s="9" t="n"/>
      <c r="F22" s="9" t="n"/>
      <c r="G22" s="9" t="n"/>
      <c r="H22" s="9" t="n"/>
      <c r="I22" s="9" t="n"/>
      <c r="J22" s="9" t="n"/>
      <c r="K22" s="9" t="n"/>
      <c r="L22" s="9" t="n"/>
      <c r="M22" s="9" t="n"/>
      <c r="N22" s="9" t="n"/>
      <c r="O22" s="9" t="n"/>
      <c r="P22" s="9" t="n"/>
      <c r="Q22" s="9" t="n"/>
      <c r="R22" s="9" t="n"/>
      <c r="S22" s="9" t="n"/>
      <c r="T22" s="9" t="n"/>
      <c r="U22" s="9" t="n"/>
      <c r="V22" s="9" t="n"/>
      <c r="W22" s="9" t="n"/>
    </row>
    <row r="23">
      <c r="A23" s="9" t="n"/>
      <c r="B23" s="9" t="n"/>
      <c r="C23" s="9" t="n"/>
      <c r="D23" s="9" t="n"/>
      <c r="E23" s="9" t="n"/>
      <c r="F23" s="9" t="n"/>
      <c r="G23" s="9" t="n"/>
      <c r="H23" s="9" t="n"/>
      <c r="I23" s="9" t="n"/>
      <c r="J23" s="9" t="n"/>
      <c r="K23" s="9" t="n"/>
      <c r="L23" s="9" t="n"/>
      <c r="M23" s="9" t="n"/>
      <c r="N23" s="9" t="n"/>
      <c r="O23" s="9" t="n"/>
      <c r="P23" s="9" t="n"/>
      <c r="Q23" s="9" t="n"/>
      <c r="R23" s="9" t="n"/>
      <c r="S23" s="9" t="n"/>
      <c r="T23" s="9" t="n"/>
      <c r="U23" s="9" t="n"/>
      <c r="V23" s="9" t="n"/>
      <c r="W23" s="9" t="n"/>
    </row>
    <row r="24">
      <c r="A24" s="9" t="n"/>
      <c r="B24" s="9" t="n"/>
      <c r="C24" s="9" t="n"/>
      <c r="D24" s="9" t="n"/>
      <c r="E24" s="9" t="n"/>
      <c r="F24" s="9" t="n"/>
      <c r="G24" s="9" t="n"/>
      <c r="H24" s="9" t="n"/>
      <c r="I24" s="9" t="n"/>
      <c r="J24" s="9" t="n"/>
      <c r="K24" s="9" t="n"/>
      <c r="L24" s="9" t="n"/>
      <c r="M24" s="9" t="n"/>
      <c r="N24" s="9" t="n"/>
      <c r="O24" s="9" t="n"/>
      <c r="P24" s="9" t="n"/>
      <c r="Q24" s="9" t="n"/>
      <c r="R24" s="9" t="n"/>
      <c r="S24" s="9" t="n"/>
      <c r="T24" s="9" t="n"/>
      <c r="U24" s="9" t="n"/>
      <c r="V24" s="9" t="n"/>
      <c r="W24" s="9" t="n"/>
    </row>
    <row r="25">
      <c r="A25" s="9" t="n"/>
      <c r="B25" s="9" t="n"/>
      <c r="C25" s="9" t="n"/>
      <c r="D25" s="9" t="n"/>
      <c r="E25" s="9" t="n"/>
      <c r="F25" s="9" t="n"/>
      <c r="G25" s="9" t="n"/>
      <c r="H25" s="9" t="n"/>
      <c r="I25" s="9" t="n"/>
      <c r="J25" s="9" t="n"/>
      <c r="K25" s="9" t="n"/>
      <c r="L25" s="9" t="n"/>
      <c r="M25" s="9" t="n"/>
      <c r="N25" s="9" t="n"/>
      <c r="O25" s="9" t="n"/>
      <c r="P25" s="9" t="n"/>
      <c r="Q25" s="9" t="n"/>
      <c r="R25" s="9" t="n"/>
      <c r="S25" s="9" t="n"/>
      <c r="T25" s="9" t="n"/>
      <c r="U25" s="9" t="n"/>
      <c r="V25" s="9" t="n"/>
      <c r="W25" s="9" t="n"/>
    </row>
    <row r="26">
      <c r="A26" s="9" t="n"/>
      <c r="B26" s="9" t="n"/>
      <c r="C26" s="9" t="n"/>
      <c r="D26" s="9" t="n"/>
      <c r="E26" s="9" t="n"/>
      <c r="F26" s="9" t="n"/>
      <c r="G26" s="9" t="n"/>
      <c r="H26" s="9" t="n"/>
      <c r="I26" s="9" t="n"/>
      <c r="J26" s="9" t="n"/>
      <c r="K26" s="9" t="n"/>
      <c r="L26" s="9" t="n"/>
      <c r="M26" s="9" t="n"/>
      <c r="N26" s="9" t="n"/>
      <c r="O26" s="9" t="n"/>
      <c r="P26" s="9" t="n"/>
      <c r="Q26" s="9" t="n"/>
      <c r="R26" s="9" t="n"/>
      <c r="S26" s="9" t="n"/>
      <c r="T26" s="9" t="n"/>
      <c r="U26" s="9" t="n"/>
      <c r="V26" s="9" t="n"/>
      <c r="W26" s="9" t="n"/>
    </row>
    <row r="27">
      <c r="A27" s="9" t="n"/>
      <c r="B27" s="9" t="n"/>
      <c r="C27" s="9" t="n"/>
      <c r="D27" s="9" t="n"/>
      <c r="E27" s="9" t="n"/>
      <c r="F27" s="9" t="n"/>
      <c r="G27" s="9" t="n"/>
      <c r="H27" s="9" t="n"/>
      <c r="I27" s="9" t="n"/>
      <c r="J27" s="9" t="n"/>
      <c r="K27" s="9" t="n"/>
      <c r="L27" s="9" t="n"/>
      <c r="M27" s="9" t="n"/>
      <c r="N27" s="9" t="n"/>
      <c r="O27" s="9" t="n"/>
      <c r="P27" s="9" t="n"/>
      <c r="Q27" s="9" t="n"/>
      <c r="R27" s="9" t="n"/>
      <c r="S27" s="9" t="n"/>
      <c r="T27" s="9" t="n"/>
      <c r="U27" s="9" t="n"/>
      <c r="V27" s="9" t="n"/>
      <c r="W27" s="9" t="n"/>
    </row>
    <row r="28">
      <c r="A28" s="9" t="n"/>
      <c r="B28" s="9" t="n"/>
      <c r="C28" s="9" t="n"/>
      <c r="D28" s="9" t="n"/>
      <c r="E28" s="9" t="n"/>
      <c r="F28" s="9" t="n"/>
      <c r="G28" s="9" t="n"/>
      <c r="H28" s="9" t="n"/>
      <c r="I28" s="9" t="n"/>
      <c r="J28" s="9" t="n"/>
      <c r="K28" s="9" t="n"/>
      <c r="L28" s="9" t="n"/>
      <c r="M28" s="9" t="n"/>
      <c r="N28" s="9" t="n"/>
      <c r="O28" s="9" t="n"/>
      <c r="P28" s="9" t="n"/>
      <c r="Q28" s="9" t="n"/>
      <c r="R28" s="9" t="n"/>
      <c r="S28" s="9" t="n"/>
      <c r="T28" s="9" t="n"/>
      <c r="U28" s="9" t="n"/>
      <c r="V28" s="9" t="n"/>
      <c r="W28" s="9" t="n"/>
    </row>
    <row r="29">
      <c r="A29" s="9" t="n"/>
      <c r="B29" s="9" t="n"/>
      <c r="C29" s="9" t="n"/>
      <c r="D29" s="9" t="n"/>
      <c r="E29" s="9" t="n"/>
      <c r="F29" s="9" t="n"/>
      <c r="G29" s="9" t="n"/>
      <c r="H29" s="9" t="n"/>
      <c r="I29" s="9" t="n"/>
      <c r="J29" s="9" t="n"/>
      <c r="K29" s="9" t="n"/>
      <c r="L29" s="9" t="n"/>
      <c r="M29" s="9" t="n"/>
      <c r="N29" s="9" t="n"/>
      <c r="O29" s="9" t="n"/>
      <c r="P29" s="9" t="n"/>
      <c r="Q29" s="9" t="n"/>
      <c r="R29" s="9" t="n"/>
      <c r="S29" s="9" t="n"/>
      <c r="T29" s="9" t="n"/>
      <c r="U29" s="9" t="n"/>
      <c r="V29" s="9" t="n"/>
      <c r="W29" s="9" t="n"/>
    </row>
    <row r="30">
      <c r="A30" s="9" t="n"/>
      <c r="B30" s="9" t="n"/>
      <c r="C30" s="9" t="n"/>
      <c r="D30" s="9" t="n"/>
      <c r="E30" s="9" t="n"/>
      <c r="F30" s="9" t="n"/>
      <c r="G30" s="9" t="n"/>
      <c r="H30" s="9" t="n"/>
      <c r="I30" s="9" t="n"/>
      <c r="J30" s="9" t="n"/>
      <c r="K30" s="9" t="n"/>
      <c r="L30" s="9" t="n"/>
      <c r="M30" s="9" t="n"/>
      <c r="N30" s="9" t="n"/>
      <c r="O30" s="9" t="n"/>
      <c r="P30" s="9" t="n"/>
      <c r="Q30" s="9" t="n"/>
      <c r="R30" s="9" t="n"/>
      <c r="S30" s="9" t="n"/>
      <c r="T30" s="9" t="n"/>
      <c r="U30" s="9" t="n"/>
      <c r="V30" s="9" t="n"/>
      <c r="W30" s="9" t="n"/>
    </row>
    <row r="31">
      <c r="A31" s="9" t="n"/>
      <c r="B31" s="9" t="n"/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  <c r="M31" s="9" t="n"/>
      <c r="N31" s="9" t="n"/>
      <c r="O31" s="9" t="n"/>
      <c r="P31" s="9" t="n"/>
      <c r="Q31" s="9" t="n"/>
      <c r="R31" s="9" t="n"/>
      <c r="S31" s="9" t="n"/>
      <c r="T31" s="9" t="n"/>
      <c r="U31" s="9" t="n"/>
      <c r="V31" s="9" t="n"/>
      <c r="W31" s="9" t="n"/>
    </row>
    <row r="32">
      <c r="A32" s="9" t="n"/>
      <c r="B32" s="9" t="n"/>
      <c r="C32" s="9" t="n"/>
      <c r="D32" s="9" t="n"/>
      <c r="E32" s="9" t="n"/>
      <c r="F32" s="9" t="n"/>
      <c r="G32" s="9" t="n"/>
      <c r="H32" s="9" t="n"/>
      <c r="I32" s="9" t="n"/>
      <c r="J32" s="9" t="n"/>
      <c r="K32" s="9" t="n"/>
      <c r="L32" s="9" t="n"/>
      <c r="M32" s="9" t="n"/>
      <c r="N32" s="9" t="n"/>
      <c r="O32" s="9" t="n"/>
      <c r="P32" s="9" t="n"/>
      <c r="Q32" s="9" t="n"/>
      <c r="R32" s="9" t="n"/>
      <c r="S32" s="9" t="n"/>
      <c r="T32" s="9" t="n"/>
      <c r="U32" s="9" t="n"/>
      <c r="V32" s="9" t="n"/>
      <c r="W32" s="9" t="n"/>
    </row>
    <row r="33">
      <c r="A33" s="9" t="n"/>
      <c r="B33" s="9" t="n"/>
      <c r="C33" s="9" t="n"/>
      <c r="D33" s="9" t="n"/>
      <c r="E33" s="9" t="n"/>
      <c r="F33" s="9" t="n"/>
      <c r="G33" s="9" t="n"/>
      <c r="H33" s="9" t="n"/>
      <c r="I33" s="9" t="n"/>
      <c r="J33" s="9" t="n"/>
      <c r="K33" s="9" t="n"/>
      <c r="L33" s="9" t="n"/>
      <c r="M33" s="9" t="n"/>
      <c r="N33" s="9" t="n"/>
      <c r="O33" s="9" t="n"/>
      <c r="P33" s="9" t="n"/>
      <c r="Q33" s="9" t="n"/>
      <c r="R33" s="9" t="n"/>
      <c r="S33" s="9" t="n"/>
      <c r="T33" s="9" t="n"/>
      <c r="U33" s="9" t="n"/>
      <c r="V33" s="9" t="n"/>
      <c r="W33" s="9" t="n"/>
    </row>
    <row r="34">
      <c r="A34" s="9" t="n"/>
      <c r="B34" s="9" t="n"/>
      <c r="C34" s="9" t="n"/>
      <c r="D34" s="9" t="n"/>
      <c r="E34" s="9" t="n"/>
      <c r="F34" s="9" t="n"/>
      <c r="G34" s="9" t="n"/>
      <c r="H34" s="9" t="n"/>
      <c r="I34" s="9" t="n"/>
      <c r="J34" s="9" t="n"/>
      <c r="K34" s="9" t="n"/>
      <c r="L34" s="9" t="n"/>
      <c r="M34" s="9" t="n"/>
      <c r="N34" s="9" t="n"/>
      <c r="O34" s="9" t="n"/>
      <c r="P34" s="9" t="n"/>
      <c r="Q34" s="9" t="n"/>
      <c r="R34" s="9" t="n"/>
      <c r="S34" s="9" t="n"/>
      <c r="T34" s="9" t="n"/>
      <c r="U34" s="9" t="n"/>
      <c r="V34" s="9" t="n"/>
      <c r="W34" s="9" t="n"/>
    </row>
    <row r="35">
      <c r="A35" s="9" t="n"/>
      <c r="B35" s="9" t="n"/>
      <c r="C35" s="9" t="n"/>
      <c r="D35" s="9" t="n"/>
      <c r="E35" s="9" t="n"/>
      <c r="F35" s="9" t="n"/>
      <c r="G35" s="9" t="n"/>
      <c r="H35" s="9" t="n"/>
      <c r="I35" s="9" t="n"/>
      <c r="J35" s="9" t="n"/>
      <c r="K35" s="9" t="n"/>
      <c r="L35" s="9" t="n"/>
      <c r="M35" s="9" t="n"/>
      <c r="N35" s="9" t="n"/>
      <c r="O35" s="9" t="n"/>
      <c r="P35" s="9" t="n"/>
      <c r="Q35" s="9" t="n"/>
      <c r="R35" s="9" t="n"/>
      <c r="S35" s="9" t="n"/>
      <c r="T35" s="9" t="n"/>
      <c r="U35" s="9" t="n"/>
      <c r="V35" s="9" t="n"/>
      <c r="W35" s="9" t="n"/>
    </row>
    <row r="36">
      <c r="A36" s="9" t="n"/>
      <c r="B36" s="9" t="n"/>
      <c r="C36" s="9" t="n"/>
      <c r="D36" s="9" t="n"/>
      <c r="E36" s="9" t="n"/>
      <c r="F36" s="9" t="n"/>
      <c r="G36" s="9" t="n"/>
      <c r="H36" s="9" t="n"/>
      <c r="I36" s="9" t="n"/>
      <c r="J36" s="9" t="n"/>
      <c r="K36" s="9" t="n"/>
      <c r="L36" s="9" t="n"/>
      <c r="M36" s="9" t="n"/>
      <c r="N36" s="9" t="n"/>
      <c r="O36" s="9" t="n"/>
      <c r="P36" s="9" t="n"/>
      <c r="Q36" s="9" t="n"/>
      <c r="R36" s="9" t="n"/>
      <c r="S36" s="9" t="n"/>
      <c r="T36" s="9" t="n"/>
      <c r="U36" s="9" t="n"/>
      <c r="V36" s="9" t="n"/>
      <c r="W36" s="9" t="n"/>
    </row>
    <row r="37">
      <c r="A37" s="9" t="n"/>
      <c r="B37" s="9" t="n"/>
      <c r="C37" s="9" t="n"/>
      <c r="D37" s="9" t="n"/>
      <c r="E37" s="9" t="n"/>
      <c r="F37" s="9" t="n"/>
      <c r="G37" s="9" t="n"/>
      <c r="H37" s="9" t="n"/>
      <c r="I37" s="9" t="n"/>
      <c r="J37" s="9" t="n"/>
      <c r="K37" s="9" t="n"/>
      <c r="L37" s="9" t="n"/>
      <c r="M37" s="9" t="n"/>
      <c r="N37" s="9" t="n"/>
      <c r="O37" s="9" t="n"/>
      <c r="P37" s="9" t="n"/>
      <c r="Q37" s="9" t="n"/>
      <c r="R37" s="9" t="n"/>
      <c r="S37" s="9" t="n"/>
      <c r="T37" s="9" t="n"/>
      <c r="U37" s="9" t="n"/>
      <c r="V37" s="9" t="n"/>
      <c r="W37" s="9" t="n"/>
    </row>
    <row r="38">
      <c r="A38" s="9" t="n"/>
      <c r="B38" s="9" t="n"/>
      <c r="C38" s="9" t="n"/>
      <c r="D38" s="9" t="n"/>
      <c r="E38" s="9" t="n"/>
      <c r="F38" s="9" t="n"/>
      <c r="G38" s="9" t="n"/>
      <c r="H38" s="9" t="n"/>
      <c r="I38" s="9" t="n"/>
      <c r="J38" s="9" t="n"/>
      <c r="K38" s="9" t="n"/>
      <c r="L38" s="9" t="n"/>
      <c r="M38" s="9" t="n"/>
      <c r="N38" s="9" t="n"/>
      <c r="O38" s="9" t="n"/>
      <c r="P38" s="9" t="n"/>
      <c r="Q38" s="9" t="n"/>
      <c r="R38" s="9" t="n"/>
      <c r="S38" s="9" t="n"/>
      <c r="T38" s="9" t="n"/>
      <c r="U38" s="9" t="n"/>
      <c r="V38" s="9" t="n"/>
      <c r="W38" s="9" t="n"/>
    </row>
    <row r="39">
      <c r="A39" s="9" t="n"/>
      <c r="B39" s="9" t="n"/>
      <c r="C39" s="9" t="n"/>
      <c r="D39" s="9" t="n"/>
      <c r="E39" s="9" t="n"/>
      <c r="F39" s="9" t="n"/>
      <c r="G39" s="9" t="n"/>
      <c r="H39" s="9" t="n"/>
      <c r="I39" s="9" t="n"/>
      <c r="J39" s="9" t="n"/>
      <c r="K39" s="9" t="n"/>
      <c r="L39" s="9" t="n"/>
      <c r="M39" s="9" t="n"/>
      <c r="N39" s="9" t="n"/>
      <c r="O39" s="9" t="n"/>
      <c r="P39" s="9" t="n"/>
      <c r="Q39" s="9" t="n"/>
      <c r="R39" s="9" t="n"/>
      <c r="S39" s="9" t="n"/>
      <c r="T39" s="9" t="n"/>
      <c r="U39" s="9" t="n"/>
      <c r="V39" s="9" t="n"/>
      <c r="W39" s="9" t="n"/>
    </row>
    <row r="40">
      <c r="A40" s="9" t="n"/>
      <c r="B40" s="9" t="n"/>
      <c r="C40" s="9" t="n"/>
      <c r="D40" s="9" t="n"/>
      <c r="E40" s="9" t="n"/>
      <c r="F40" s="9" t="n"/>
      <c r="G40" s="9" t="n"/>
      <c r="H40" s="9" t="n"/>
      <c r="I40" s="9" t="n"/>
      <c r="J40" s="9" t="n"/>
      <c r="K40" s="9" t="n"/>
      <c r="L40" s="9" t="n"/>
      <c r="M40" s="9" t="n"/>
      <c r="N40" s="9" t="n"/>
      <c r="O40" s="9" t="n"/>
      <c r="P40" s="9" t="n"/>
      <c r="Q40" s="9" t="n"/>
      <c r="R40" s="9" t="n"/>
      <c r="S40" s="9" t="n"/>
      <c r="T40" s="9" t="n"/>
      <c r="U40" s="9" t="n"/>
      <c r="V40" s="9" t="n"/>
      <c r="W40" s="9" t="n"/>
    </row>
    <row r="41">
      <c r="A41" s="9" t="n"/>
      <c r="B41" s="9" t="n"/>
      <c r="C41" s="9" t="n"/>
      <c r="D41" s="9" t="n"/>
      <c r="E41" s="9" t="n"/>
      <c r="F41" s="9" t="n"/>
      <c r="G41" s="9" t="n"/>
      <c r="H41" s="9" t="n"/>
      <c r="I41" s="9" t="n"/>
      <c r="J41" s="9" t="n"/>
      <c r="K41" s="9" t="n"/>
      <c r="L41" s="9" t="n"/>
      <c r="M41" s="9" t="n"/>
      <c r="N41" s="9" t="n"/>
      <c r="O41" s="9" t="n"/>
      <c r="P41" s="9" t="n"/>
      <c r="Q41" s="9" t="n"/>
      <c r="R41" s="9" t="n"/>
      <c r="S41" s="9" t="n"/>
      <c r="T41" s="9" t="n"/>
      <c r="U41" s="9" t="n"/>
      <c r="V41" s="9" t="n"/>
      <c r="W41" s="9" t="n"/>
    </row>
    <row r="42">
      <c r="A42" s="9" t="n"/>
      <c r="B42" s="9" t="n"/>
      <c r="C42" s="9" t="n"/>
      <c r="D42" s="9" t="n"/>
      <c r="E42" s="9" t="n"/>
      <c r="F42" s="9" t="n"/>
      <c r="G42" s="9" t="n"/>
      <c r="H42" s="9" t="n"/>
      <c r="I42" s="9" t="n"/>
      <c r="J42" s="9" t="n"/>
      <c r="K42" s="9" t="n"/>
      <c r="L42" s="9" t="n"/>
      <c r="M42" s="9" t="n"/>
      <c r="N42" s="9" t="n"/>
      <c r="O42" s="9" t="n"/>
      <c r="P42" s="9" t="n"/>
      <c r="Q42" s="9" t="n"/>
      <c r="R42" s="9" t="n"/>
      <c r="S42" s="9" t="n"/>
      <c r="T42" s="9" t="n"/>
      <c r="U42" s="9" t="n"/>
      <c r="V42" s="9" t="n"/>
      <c r="W42" s="9" t="n"/>
    </row>
    <row r="43">
      <c r="A43" s="9" t="n"/>
      <c r="B43" s="9" t="n"/>
      <c r="C43" s="9" t="n"/>
      <c r="D43" s="9" t="n"/>
      <c r="E43" s="9" t="n"/>
      <c r="F43" s="9" t="n"/>
      <c r="G43" s="9" t="n"/>
      <c r="H43" s="9" t="n"/>
      <c r="I43" s="9" t="n"/>
      <c r="J43" s="9" t="n"/>
      <c r="K43" s="9" t="n"/>
      <c r="L43" s="9" t="n"/>
      <c r="M43" s="9" t="n"/>
      <c r="N43" s="9" t="n"/>
      <c r="O43" s="9" t="n"/>
      <c r="P43" s="9" t="n"/>
      <c r="Q43" s="9" t="n"/>
      <c r="R43" s="9" t="n"/>
      <c r="S43" s="9" t="n"/>
      <c r="T43" s="9" t="n"/>
      <c r="U43" s="9" t="n"/>
      <c r="V43" s="9" t="n"/>
      <c r="W43" s="9" t="n"/>
    </row>
    <row r="44">
      <c r="A44" s="9" t="n"/>
      <c r="B44" s="9" t="n"/>
      <c r="C44" s="9" t="n"/>
      <c r="D44" s="9" t="n"/>
      <c r="E44" s="9" t="n"/>
      <c r="F44" s="9" t="n"/>
      <c r="G44" s="9" t="n"/>
      <c r="H44" s="9" t="n"/>
      <c r="I44" s="9" t="n"/>
      <c r="J44" s="9" t="n"/>
      <c r="K44" s="9" t="n"/>
      <c r="L44" s="9" t="n"/>
      <c r="M44" s="9" t="n"/>
      <c r="N44" s="9" t="n"/>
      <c r="O44" s="9" t="n"/>
      <c r="P44" s="9" t="n"/>
      <c r="Q44" s="9" t="n"/>
      <c r="R44" s="9" t="n"/>
      <c r="S44" s="9" t="n"/>
      <c r="T44" s="9" t="n"/>
      <c r="U44" s="9" t="n"/>
      <c r="V44" s="9" t="n"/>
      <c r="W44" s="9" t="n"/>
    </row>
    <row r="45">
      <c r="A45" s="9" t="n"/>
      <c r="B45" s="9" t="n"/>
      <c r="C45" s="9" t="n"/>
      <c r="D45" s="9" t="n"/>
      <c r="E45" s="9" t="n"/>
      <c r="F45" s="9" t="n"/>
      <c r="G45" s="9" t="n"/>
      <c r="H45" s="9" t="n"/>
      <c r="I45" s="9" t="n"/>
      <c r="J45" s="9" t="n"/>
      <c r="K45" s="9" t="n"/>
      <c r="L45" s="9" t="n"/>
      <c r="M45" s="9" t="n"/>
      <c r="N45" s="9" t="n"/>
      <c r="O45" s="9" t="n"/>
      <c r="P45" s="9" t="n"/>
      <c r="Q45" s="9" t="n"/>
      <c r="R45" s="9" t="n"/>
      <c r="S45" s="9" t="n"/>
      <c r="T45" s="9" t="n"/>
      <c r="U45" s="9" t="n"/>
      <c r="V45" s="9" t="n"/>
      <c r="W45" s="9" t="n"/>
    </row>
    <row r="46">
      <c r="A46" s="9" t="n"/>
      <c r="B46" s="9" t="n"/>
      <c r="C46" s="9" t="n"/>
      <c r="D46" s="9" t="n"/>
      <c r="E46" s="9" t="n"/>
      <c r="F46" s="9" t="n"/>
      <c r="G46" s="9" t="n"/>
      <c r="H46" s="9" t="n"/>
      <c r="I46" s="9" t="n"/>
      <c r="J46" s="9" t="n"/>
      <c r="K46" s="9" t="n"/>
      <c r="L46" s="9" t="n"/>
      <c r="M46" s="9" t="n"/>
      <c r="N46" s="9" t="n"/>
      <c r="O46" s="9" t="n"/>
      <c r="P46" s="9" t="n"/>
      <c r="Q46" s="9" t="n"/>
      <c r="R46" s="9" t="n"/>
      <c r="S46" s="9" t="n"/>
      <c r="T46" s="9" t="n"/>
      <c r="U46" s="9" t="n"/>
      <c r="V46" s="9" t="n"/>
      <c r="W46" s="9" t="n"/>
    </row>
    <row r="47">
      <c r="A47" s="9" t="n"/>
      <c r="B47" s="9" t="n"/>
      <c r="C47" s="9" t="n"/>
      <c r="D47" s="9" t="n"/>
      <c r="E47" s="9" t="n"/>
      <c r="F47" s="9" t="n"/>
      <c r="G47" s="9" t="n"/>
      <c r="H47" s="9" t="n"/>
      <c r="I47" s="9" t="n"/>
      <c r="J47" s="9" t="n"/>
      <c r="K47" s="9" t="n"/>
      <c r="L47" s="9" t="n"/>
      <c r="M47" s="9" t="n"/>
      <c r="N47" s="9" t="n"/>
      <c r="O47" s="9" t="n"/>
      <c r="P47" s="9" t="n"/>
      <c r="Q47" s="9" t="n"/>
      <c r="R47" s="9" t="n"/>
      <c r="S47" s="9" t="n"/>
      <c r="T47" s="9" t="n"/>
      <c r="U47" s="9" t="n"/>
      <c r="V47" s="9" t="n"/>
      <c r="W47" s="9" t="n"/>
    </row>
    <row r="48">
      <c r="A48" s="9" t="n"/>
      <c r="B48" s="9" t="n"/>
      <c r="C48" s="9" t="n"/>
      <c r="D48" s="9" t="n"/>
      <c r="E48" s="9" t="n"/>
      <c r="F48" s="9" t="n"/>
      <c r="G48" s="9" t="n"/>
      <c r="H48" s="9" t="n"/>
      <c r="I48" s="9" t="n"/>
      <c r="J48" s="9" t="n"/>
      <c r="K48" s="9" t="n"/>
      <c r="L48" s="9" t="n"/>
      <c r="M48" s="9" t="n"/>
      <c r="N48" s="9" t="n"/>
      <c r="O48" s="9" t="n"/>
      <c r="P48" s="9" t="n"/>
      <c r="Q48" s="9" t="n"/>
      <c r="R48" s="9" t="n"/>
      <c r="S48" s="9" t="n"/>
      <c r="T48" s="9" t="n"/>
      <c r="U48" s="9" t="n"/>
      <c r="V48" s="9" t="n"/>
      <c r="W48" s="9" t="n"/>
    </row>
    <row r="49">
      <c r="A49" s="9" t="n"/>
      <c r="B49" s="9" t="n"/>
      <c r="C49" s="9" t="n"/>
      <c r="D49" s="9" t="n"/>
      <c r="E49" s="9" t="n"/>
      <c r="F49" s="9" t="n"/>
      <c r="G49" s="9" t="n"/>
      <c r="H49" s="9" t="n"/>
      <c r="I49" s="9" t="n"/>
      <c r="J49" s="9" t="n"/>
      <c r="K49" s="9" t="n"/>
      <c r="L49" s="9" t="n"/>
      <c r="M49" s="9" t="n"/>
      <c r="N49" s="9" t="n"/>
      <c r="O49" s="9" t="n"/>
      <c r="P49" s="9" t="n"/>
      <c r="Q49" s="9" t="n"/>
      <c r="R49" s="9" t="n"/>
      <c r="S49" s="9" t="n"/>
      <c r="T49" s="9" t="n"/>
      <c r="U49" s="9" t="n"/>
      <c r="V49" s="9" t="n"/>
      <c r="W49" s="9" t="n"/>
    </row>
    <row r="50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  <c r="M50" s="9" t="n"/>
      <c r="N50" s="9" t="n"/>
      <c r="O50" s="9" t="n"/>
      <c r="P50" s="9" t="n"/>
      <c r="Q50" s="9" t="n"/>
      <c r="R50" s="9" t="n"/>
      <c r="S50" s="9" t="n"/>
      <c r="T50" s="9" t="n"/>
      <c r="U50" s="9" t="n"/>
      <c r="V50" s="9" t="n"/>
      <c r="W50" s="9" t="n"/>
    </row>
  </sheetData>
  <mergeCells count="8">
    <mergeCell ref="I7:J8"/>
    <mergeCell ref="L7:M8"/>
    <mergeCell ref="C7:D8"/>
    <mergeCell ref="F7:G8"/>
    <mergeCell ref="F5:G6"/>
    <mergeCell ref="C5:D6"/>
    <mergeCell ref="I5:J6"/>
    <mergeCell ref="L5:M6"/>
  </mergeCells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2026-09-20T13:38:52Z</dcterms:created>
  <dcterms:modified xmlns:dcterms="http://purl.org/dc/terms/" xmlns:xsi="http://www.w3.org/2001/XMLSchema-instance" xsi:type="dcterms:W3CDTF">2026-09-23T06:46:30Z</dcterms:modified>
  <cp:lastModifiedBy>kunal saxena</cp:lastModifiedBy>
</cp:coreProperties>
</file>